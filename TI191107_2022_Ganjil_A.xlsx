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D:\01_KULIAH_ACT\Menggambar Teknik 2022 Ganjil\Nilai Kuliah Menggambar Teknik 2022\"/>
    </mc:Choice>
  </mc:AlternateContent>
  <xr:revisionPtr revIDLastSave="0" documentId="13_ncr:1_{DFC69913-FCE0-4B87-8A57-9AB5EC2DC128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Sheet1" sheetId="1" r:id="rId1"/>
    <sheet name="CP1.26" sheetId="2" r:id="rId2"/>
    <sheet name="CP1.27" sheetId="3" r:id="rId3"/>
    <sheet name="CP1.28" sheetId="4" r:id="rId4"/>
    <sheet name="CP1.29" sheetId="5" r:id="rId5"/>
    <sheet name="CP1.30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1" i="1" l="1"/>
  <c r="H40" i="1"/>
  <c r="H38" i="1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H49" i="1"/>
  <c r="G49" i="1"/>
  <c r="F49" i="1"/>
  <c r="E49" i="1"/>
  <c r="D49" i="1"/>
  <c r="L49" i="1" s="1"/>
  <c r="H48" i="1"/>
  <c r="G48" i="1"/>
  <c r="F48" i="1"/>
  <c r="E48" i="1"/>
  <c r="D48" i="1"/>
  <c r="L48" i="1" s="1"/>
  <c r="D47" i="1"/>
  <c r="L47" i="1" s="1"/>
  <c r="H46" i="1"/>
  <c r="G46" i="1"/>
  <c r="F46" i="1"/>
  <c r="E46" i="1"/>
  <c r="D46" i="1"/>
  <c r="L46" i="1" s="1"/>
  <c r="H45" i="1"/>
  <c r="G45" i="1"/>
  <c r="F45" i="1"/>
  <c r="E45" i="1"/>
  <c r="D45" i="1"/>
  <c r="L45" i="1" s="1"/>
  <c r="D44" i="1"/>
  <c r="L44" i="1" s="1"/>
  <c r="H43" i="1"/>
  <c r="G43" i="1"/>
  <c r="F43" i="1"/>
  <c r="E43" i="1"/>
  <c r="D43" i="1"/>
  <c r="L43" i="1" s="1"/>
  <c r="H42" i="1"/>
  <c r="G42" i="1"/>
  <c r="F42" i="1"/>
  <c r="E42" i="1"/>
  <c r="D42" i="1"/>
  <c r="L42" i="1" s="1"/>
  <c r="H41" i="1"/>
  <c r="G41" i="1"/>
  <c r="F41" i="1"/>
  <c r="E41" i="1"/>
  <c r="D41" i="1"/>
  <c r="L41" i="1" s="1"/>
  <c r="G40" i="1"/>
  <c r="F40" i="1"/>
  <c r="E40" i="1"/>
  <c r="D40" i="1"/>
  <c r="L40" i="1" s="1"/>
  <c r="H39" i="1"/>
  <c r="G39" i="1"/>
  <c r="F39" i="1"/>
  <c r="E39" i="1"/>
  <c r="L39" i="1" s="1"/>
  <c r="D39" i="1"/>
  <c r="G38" i="1"/>
  <c r="F38" i="1"/>
  <c r="L38" i="1" s="1"/>
  <c r="E38" i="1"/>
  <c r="D38" i="1"/>
  <c r="H37" i="1"/>
  <c r="G37" i="1"/>
  <c r="F37" i="1"/>
  <c r="L37" i="1" s="1"/>
  <c r="E37" i="1"/>
  <c r="D37" i="1"/>
  <c r="H36" i="1"/>
  <c r="G36" i="1"/>
  <c r="F36" i="1"/>
  <c r="E36" i="1"/>
  <c r="D36" i="1"/>
  <c r="L36" i="1" s="1"/>
  <c r="H35" i="1"/>
  <c r="G35" i="1"/>
  <c r="F35" i="1"/>
  <c r="E35" i="1"/>
  <c r="L35" i="1" s="1"/>
  <c r="D35" i="1"/>
  <c r="H34" i="1"/>
  <c r="G34" i="1"/>
  <c r="F34" i="1"/>
  <c r="E34" i="1"/>
  <c r="L34" i="1" s="1"/>
  <c r="D34" i="1"/>
  <c r="H33" i="1"/>
  <c r="G33" i="1"/>
  <c r="F33" i="1"/>
  <c r="E33" i="1"/>
  <c r="D33" i="1"/>
  <c r="L33" i="1" s="1"/>
  <c r="H32" i="1"/>
  <c r="G32" i="1"/>
  <c r="F32" i="1"/>
  <c r="E32" i="1"/>
  <c r="D32" i="1"/>
  <c r="L32" i="1" s="1"/>
  <c r="H31" i="1"/>
  <c r="G31" i="1"/>
  <c r="F31" i="1"/>
  <c r="E31" i="1"/>
  <c r="D31" i="1"/>
  <c r="L31" i="1" s="1"/>
  <c r="H30" i="1"/>
  <c r="G30" i="1"/>
  <c r="F30" i="1"/>
  <c r="L30" i="1" s="1"/>
  <c r="E30" i="1"/>
  <c r="D30" i="1"/>
  <c r="H29" i="1"/>
  <c r="G29" i="1"/>
  <c r="F29" i="1"/>
  <c r="L29" i="1" s="1"/>
  <c r="E29" i="1"/>
  <c r="D29" i="1"/>
  <c r="H28" i="1"/>
  <c r="G28" i="1"/>
  <c r="F28" i="1"/>
  <c r="E28" i="1"/>
  <c r="D28" i="1"/>
  <c r="L28" i="1" s="1"/>
  <c r="H27" i="1"/>
  <c r="G27" i="1"/>
  <c r="F27" i="1"/>
  <c r="E27" i="1"/>
  <c r="L27" i="1" s="1"/>
  <c r="D27" i="1"/>
  <c r="H26" i="1"/>
  <c r="G26" i="1"/>
  <c r="F26" i="1"/>
  <c r="E26" i="1"/>
  <c r="L26" i="1" s="1"/>
  <c r="D26" i="1"/>
  <c r="H25" i="1"/>
  <c r="G25" i="1"/>
  <c r="F25" i="1"/>
  <c r="E25" i="1"/>
  <c r="D25" i="1"/>
  <c r="L25" i="1" s="1"/>
  <c r="H24" i="1"/>
  <c r="G24" i="1"/>
  <c r="F24" i="1"/>
  <c r="E24" i="1"/>
  <c r="D24" i="1"/>
  <c r="L24" i="1" s="1"/>
  <c r="H23" i="1"/>
  <c r="G23" i="1"/>
  <c r="F23" i="1"/>
  <c r="E23" i="1"/>
  <c r="D23" i="1"/>
  <c r="L23" i="1" s="1"/>
  <c r="H22" i="1"/>
  <c r="G22" i="1"/>
  <c r="F22" i="1"/>
  <c r="L22" i="1" s="1"/>
  <c r="E22" i="1"/>
  <c r="D22" i="1"/>
  <c r="D21" i="1"/>
  <c r="H20" i="1"/>
  <c r="G20" i="1"/>
  <c r="F20" i="1"/>
  <c r="E20" i="1"/>
  <c r="D20" i="1"/>
  <c r="L20" i="1" s="1"/>
  <c r="H19" i="1"/>
  <c r="G19" i="1"/>
  <c r="F19" i="1"/>
  <c r="E19" i="1"/>
  <c r="D19" i="1"/>
  <c r="L19" i="1" s="1"/>
  <c r="H18" i="1"/>
  <c r="G18" i="1"/>
  <c r="F18" i="1"/>
  <c r="L18" i="1" s="1"/>
  <c r="E18" i="1"/>
  <c r="D18" i="1"/>
  <c r="D17" i="1"/>
  <c r="L17" i="1" s="1"/>
  <c r="H16" i="1"/>
  <c r="G16" i="1"/>
  <c r="F16" i="1"/>
  <c r="E16" i="1"/>
  <c r="D16" i="1"/>
  <c r="L16" i="1" s="1"/>
  <c r="H15" i="1"/>
  <c r="G15" i="1"/>
  <c r="F15" i="1"/>
  <c r="E15" i="1"/>
  <c r="D15" i="1"/>
  <c r="L15" i="1" s="1"/>
</calcChain>
</file>

<file path=xl/sharedStrings.xml><?xml version="1.0" encoding="utf-8"?>
<sst xmlns="http://schemas.openxmlformats.org/spreadsheetml/2006/main" count="621" uniqueCount="106">
  <si>
    <t>SEBELAS MARET UNIVERSITY</t>
  </si>
  <si>
    <t>Faculty</t>
  </si>
  <si>
    <t>TEKNIK</t>
  </si>
  <si>
    <t>Study program</t>
  </si>
  <si>
    <t>Industri</t>
  </si>
  <si>
    <t>Academic year</t>
  </si>
  <si>
    <t>2022 - Ganjil</t>
  </si>
  <si>
    <t>Course Code</t>
  </si>
  <si>
    <t>TI191107</t>
  </si>
  <si>
    <t>Course Name</t>
  </si>
  <si>
    <t xml:space="preserve">Menggambar Teknik </t>
  </si>
  <si>
    <t>Class</t>
  </si>
  <si>
    <t>A</t>
  </si>
  <si>
    <t>Lecturer</t>
  </si>
  <si>
    <t>YUSUF PRIYANDARI</t>
  </si>
  <si>
    <t>X/lPZv53FpITM7HKFHEpoOUbJenWYS3iLpupsxxW2Jg=</t>
  </si>
  <si>
    <t>No</t>
  </si>
  <si>
    <t>Nim</t>
  </si>
  <si>
    <t>Mahasiswa</t>
  </si>
  <si>
    <t>Nilai</t>
  </si>
  <si>
    <t>UK3</t>
  </si>
  <si>
    <t>UK4</t>
  </si>
  <si>
    <t>UK1 (UTS)</t>
  </si>
  <si>
    <t>UK2 (UAS)</t>
  </si>
  <si>
    <t>UK5</t>
  </si>
  <si>
    <t>I0322001</t>
  </si>
  <si>
    <t>ACHMAD SIDIQ HERMAN</t>
  </si>
  <si>
    <t>I0322002</t>
  </si>
  <si>
    <t>ADITYA AGUNG NUGROHO</t>
  </si>
  <si>
    <t>I0322003</t>
  </si>
  <si>
    <t>ADITYA SYAHRIAL VALENTIO</t>
  </si>
  <si>
    <t>I0322004</t>
  </si>
  <si>
    <t>ADRIANI HASNA KHALISHA</t>
  </si>
  <si>
    <t>I0322005</t>
  </si>
  <si>
    <t>ADZ-DZIKRA QUROTA A'YUN</t>
  </si>
  <si>
    <t>I0322006</t>
  </si>
  <si>
    <t>AHMAD JANGKUNG ISLAMUDIN</t>
  </si>
  <si>
    <t>I0322007</t>
  </si>
  <si>
    <t>AKBAR SATYA PAMBUDI</t>
  </si>
  <si>
    <t>I0322008</t>
  </si>
  <si>
    <t>AKEYSHA BELVA DEVARA</t>
  </si>
  <si>
    <t>I0322009</t>
  </si>
  <si>
    <t>AKILA SYAHRA MAHARANI</t>
  </si>
  <si>
    <t>I0322010</t>
  </si>
  <si>
    <t>ALAMSYAH RIYO SAPUTRA</t>
  </si>
  <si>
    <t>I0322011</t>
  </si>
  <si>
    <t>ALIF KUS SETYANTO</t>
  </si>
  <si>
    <t>I0322012</t>
  </si>
  <si>
    <t>ALRANTISA AMIENA RAISA</t>
  </si>
  <si>
    <t>I0322013</t>
  </si>
  <si>
    <t>ANCELIN ALOYSIA PRASETYO</t>
  </si>
  <si>
    <t>I0322014</t>
  </si>
  <si>
    <t>ANGELIQUE YOANITA</t>
  </si>
  <si>
    <t>I0322015</t>
  </si>
  <si>
    <t>ANGGITO DWI PRIHANTORO</t>
  </si>
  <si>
    <t>I0322016</t>
  </si>
  <si>
    <t>ANTONIUS INDRA WICAKSONO</t>
  </si>
  <si>
    <t>I0322017</t>
  </si>
  <si>
    <t>ARIIQ RAKHMAN SETIANA</t>
  </si>
  <si>
    <t>I0322018</t>
  </si>
  <si>
    <t>AUDRY ANGELINA LUBIS</t>
  </si>
  <si>
    <t>I0322019</t>
  </si>
  <si>
    <t>AURELIA NADIRA ROSEKANIA DARMAWAN</t>
  </si>
  <si>
    <t>I0322020</t>
  </si>
  <si>
    <t>AYUSIKA YUMNA AGIL NABILLAH</t>
  </si>
  <si>
    <t>I0322021</t>
  </si>
  <si>
    <t>AZIS HENDRAWAN</t>
  </si>
  <si>
    <t>I0322022</t>
  </si>
  <si>
    <t>BAGUS PRADITA</t>
  </si>
  <si>
    <t>I0322023</t>
  </si>
  <si>
    <t>BAGUS RAKHA PRAMUDITYA</t>
  </si>
  <si>
    <t>I0322024</t>
  </si>
  <si>
    <t>BERLIANA NURUL AZZAHRA</t>
  </si>
  <si>
    <t>I0322025</t>
  </si>
  <si>
    <t>BRIAN WINSON JO</t>
  </si>
  <si>
    <t>I0322026</t>
  </si>
  <si>
    <t>CHANISA ULKARIMAH</t>
  </si>
  <si>
    <t>I0322027</t>
  </si>
  <si>
    <t>CHARISMA CINTANI ADHI SURYA</t>
  </si>
  <si>
    <t>I0322028</t>
  </si>
  <si>
    <t>CHEZAVA DEANANTA</t>
  </si>
  <si>
    <t>I0322029</t>
  </si>
  <si>
    <t>CHILYA ULIL FITRIA</t>
  </si>
  <si>
    <t>I0322030</t>
  </si>
  <si>
    <t>DAFFA RASYAD WIRA NUGROHO</t>
  </si>
  <si>
    <t>I0322031</t>
  </si>
  <si>
    <t>DANIALIN SISWO HANDOYO</t>
  </si>
  <si>
    <t>I0322032</t>
  </si>
  <si>
    <t>DANIEL MULASATRIA DAMANIK</t>
  </si>
  <si>
    <t>I0322033</t>
  </si>
  <si>
    <t>DANU ILMAM AHARY</t>
  </si>
  <si>
    <t>I0322034</t>
  </si>
  <si>
    <t>DEANIETA ADILEST</t>
  </si>
  <si>
    <t>I0322035</t>
  </si>
  <si>
    <t>DENNISA LATHIFA HARDIANI</t>
  </si>
  <si>
    <t>Tolong inputkan nilai Aktivitas Mandiri</t>
  </si>
  <si>
    <t>Grup</t>
  </si>
  <si>
    <t>I</t>
  </si>
  <si>
    <t>II</t>
  </si>
  <si>
    <t>III</t>
  </si>
  <si>
    <t>IV</t>
  </si>
  <si>
    <t>NILAI</t>
  </si>
  <si>
    <t>GeCOns2D</t>
  </si>
  <si>
    <t>-</t>
  </si>
  <si>
    <t>Skor</t>
  </si>
  <si>
    <t>NIlai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</si>
</sst>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.0"/>
    <numFmt numFmtId="165" formatCode="_-* #,##0.00_-;\-* #,##0.00_-;_-* &quot;-&quot;_-;_-@_-"/>
  </numFmts>
  <fonts count="9">
    <font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b/>
      <sz val="11"/>
      <color rgb="FFFFFFFF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Arial"/>
    </font>
    <font>
      <sz val="11"/>
      <color rgb="FF00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335593"/>
        <bgColor rgb="FF33559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  <fill>
      <patternFill patternType="solid">
        <fgColor rgb="FFD9D9D9"/>
        <bgColor rgb="FFD9D9D9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FFFFFF"/>
      </left>
      <right style="thin">
        <color rgb="FFFFFFFF"/>
      </right>
      <top style="medium">
        <color rgb="FFFFFFFF"/>
      </top>
      <bottom/>
      <diagonal/>
    </border>
    <border>
      <left style="thin">
        <color rgb="FFFFFFFF"/>
      </left>
      <right style="thin">
        <color rgb="FFFFFFFF"/>
      </right>
      <top style="medium">
        <color rgb="FFFFFFFF"/>
      </top>
      <bottom/>
      <diagonal/>
    </border>
    <border>
      <left style="thin">
        <color rgb="FFFFFFFF"/>
      </left>
      <right/>
      <top style="medium">
        <color rgb="FFFFFFFF"/>
      </top>
      <bottom style="thin">
        <color rgb="FFFFFFFF"/>
      </bottom>
      <diagonal/>
    </border>
    <border>
      <left/>
      <right/>
      <top style="medium">
        <color rgb="FFFFFFFF"/>
      </top>
      <bottom style="thin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FFFFFF"/>
      </left>
      <right style="thin">
        <color rgb="FFFFFFFF"/>
      </right>
      <top/>
      <bottom style="medium">
        <color rgb="FFFFFFFF"/>
      </bottom>
      <diagonal/>
    </border>
    <border>
      <left style="thin">
        <color rgb="FFFFFFFF"/>
      </left>
      <right style="thin">
        <color rgb="FFFFFFFF"/>
      </right>
      <top/>
      <bottom style="medium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FFFF"/>
      </bottom>
      <diagonal/>
    </border>
    <border>
      <left style="thin">
        <color rgb="FFFFFFFF"/>
      </left>
      <right style="medium">
        <color rgb="FFFFFFFF"/>
      </right>
      <top style="thin">
        <color rgb="FFFFFFFF"/>
      </top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1" fontId="8" fillId="0" borderId="0" applyFont="0" applyFill="0" applyBorder="0" applyAlignment="0" applyProtection="0"/>
  </cellStyleXfs>
  <cellXfs count="43">
    <xf numFmtId="0" fontId="0" fillId="0" borderId="0" xfId="0"/>
    <xf numFmtId="0" fontId="1" fillId="0" borderId="1" xfId="0" applyFont="1" applyBorder="1"/>
    <xf numFmtId="0" fontId="2" fillId="0" borderId="10" xfId="0" applyFont="1" applyBorder="1"/>
    <xf numFmtId="0" fontId="4" fillId="6" borderId="13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2" fillId="4" borderId="10" xfId="0" applyFont="1" applyFill="1" applyBorder="1"/>
    <xf numFmtId="0" fontId="4" fillId="6" borderId="17" xfId="0" applyFont="1" applyFill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5" fillId="0" borderId="0" xfId="0" applyFont="1"/>
    <xf numFmtId="164" fontId="5" fillId="0" borderId="0" xfId="0" applyNumberFormat="1" applyFont="1"/>
    <xf numFmtId="2" fontId="5" fillId="0" borderId="0" xfId="0" applyNumberFormat="1" applyFont="1"/>
    <xf numFmtId="4" fontId="5" fillId="0" borderId="0" xfId="0" applyNumberFormat="1" applyFont="1"/>
    <xf numFmtId="0" fontId="6" fillId="0" borderId="10" xfId="0" applyFont="1" applyBorder="1" applyAlignment="1">
      <alignment horizontal="right"/>
    </xf>
    <xf numFmtId="0" fontId="6" fillId="0" borderId="19" xfId="0" applyFont="1" applyBorder="1" applyAlignment="1">
      <alignment horizontal="right"/>
    </xf>
    <xf numFmtId="0" fontId="6" fillId="0" borderId="19" xfId="0" applyFont="1" applyBorder="1"/>
    <xf numFmtId="164" fontId="2" fillId="0" borderId="10" xfId="0" applyNumberFormat="1" applyFont="1" applyBorder="1"/>
    <xf numFmtId="0" fontId="7" fillId="0" borderId="0" xfId="0" applyFont="1"/>
    <xf numFmtId="2" fontId="7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8" borderId="0" xfId="0" applyFont="1" applyFill="1" applyAlignment="1">
      <alignment horizontal="center"/>
    </xf>
    <xf numFmtId="4" fontId="2" fillId="0" borderId="0" xfId="0" applyNumberFormat="1" applyFont="1" applyAlignment="1">
      <alignment horizontal="center"/>
    </xf>
    <xf numFmtId="4" fontId="2" fillId="8" borderId="0" xfId="0" applyNumberFormat="1" applyFont="1" applyFill="1" applyAlignment="1">
      <alignment horizontal="center"/>
    </xf>
    <xf numFmtId="165" fontId="2" fillId="0" borderId="0" xfId="1" applyNumberFormat="1" applyFont="1" applyAlignment="1">
      <alignment horizontal="center"/>
    </xf>
    <xf numFmtId="165" fontId="5" fillId="0" borderId="0" xfId="1" applyNumberFormat="1" applyFont="1"/>
    <xf numFmtId="0" fontId="2" fillId="0" borderId="1" xfId="0" applyFont="1" applyBorder="1" applyAlignment="1">
      <alignment horizontal="left" vertical="top"/>
    </xf>
    <xf numFmtId="0" fontId="3" fillId="0" borderId="2" xfId="0" applyFont="1" applyBorder="1"/>
    <xf numFmtId="0" fontId="3" fillId="0" borderId="3" xfId="0" applyFont="1" applyBorder="1"/>
    <xf numFmtId="0" fontId="2" fillId="0" borderId="4" xfId="0" applyFont="1" applyBorder="1" applyAlignment="1">
      <alignment horizontal="center" vertical="top"/>
    </xf>
    <xf numFmtId="0" fontId="3" fillId="0" borderId="4" xfId="0" applyFont="1" applyBorder="1"/>
    <xf numFmtId="0" fontId="4" fillId="2" borderId="5" xfId="0" applyFont="1" applyFill="1" applyBorder="1" applyAlignment="1">
      <alignment horizontal="center" vertical="center"/>
    </xf>
    <xf numFmtId="0" fontId="3" fillId="0" borderId="11" xfId="0" applyFont="1" applyBorder="1"/>
    <xf numFmtId="0" fontId="3" fillId="0" borderId="15" xfId="0" applyFont="1" applyBorder="1"/>
    <xf numFmtId="0" fontId="4" fillId="3" borderId="6" xfId="0" applyFont="1" applyFill="1" applyBorder="1" applyAlignment="1">
      <alignment horizontal="center" vertical="center"/>
    </xf>
    <xf numFmtId="0" fontId="3" fillId="0" borderId="12" xfId="0" applyFont="1" applyBorder="1"/>
    <xf numFmtId="0" fontId="3" fillId="0" borderId="16" xfId="0" applyFont="1" applyBorder="1"/>
    <xf numFmtId="0" fontId="1" fillId="4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1" fillId="0" borderId="0" xfId="0" applyFont="1" applyAlignment="1">
      <alignment horizontal="center"/>
    </xf>
    <xf numFmtId="0" fontId="0" fillId="0" borderId="0" xfId="0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showGridLines="0" tabSelected="1" topLeftCell="A35" workbookViewId="0">
      <selection activeCell="C45" sqref="C45"/>
    </sheetView>
  </sheetViews>
  <sheetFormatPr defaultColWidth="14.3984375" defaultRowHeight="15" customHeight="1"/>
  <cols>
    <col min="1" max="1" width="3.53125" customWidth="1"/>
    <col min="2" max="2" width="17.3984375" customWidth="1"/>
    <col min="3" max="3" width="32.73046875" customWidth="1"/>
    <col min="4" max="8" width="9.86328125" customWidth="1"/>
    <col min="9" max="26" width="8.73046875" customWidth="1"/>
  </cols>
  <sheetData>
    <row r="1" spans="1:12" ht="14.25" customHeight="1"/>
    <row r="2" spans="1:12" ht="14.25" customHeight="1">
      <c r="A2" s="41" t="s">
        <v>0</v>
      </c>
      <c r="B2" s="42"/>
      <c r="C2" s="42"/>
      <c r="D2" s="42"/>
      <c r="E2" s="42"/>
      <c r="F2" s="42"/>
      <c r="G2" s="42"/>
      <c r="H2" s="42"/>
    </row>
    <row r="3" spans="1:12" ht="14.25" customHeight="1"/>
    <row r="4" spans="1:12" ht="14.25" customHeight="1">
      <c r="B4" s="1" t="s">
        <v>1</v>
      </c>
      <c r="C4" s="26" t="s">
        <v>2</v>
      </c>
      <c r="D4" s="27"/>
      <c r="E4" s="27"/>
      <c r="F4" s="27"/>
      <c r="G4" s="27"/>
      <c r="H4" s="28"/>
    </row>
    <row r="5" spans="1:12" ht="14.25" customHeight="1">
      <c r="B5" s="1" t="s">
        <v>3</v>
      </c>
      <c r="C5" s="26" t="s">
        <v>4</v>
      </c>
      <c r="D5" s="27"/>
      <c r="E5" s="27"/>
      <c r="F5" s="27"/>
      <c r="G5" s="27"/>
      <c r="H5" s="28"/>
    </row>
    <row r="6" spans="1:12" ht="14.25" customHeight="1">
      <c r="B6" s="1" t="s">
        <v>5</v>
      </c>
      <c r="C6" s="26" t="s">
        <v>6</v>
      </c>
      <c r="D6" s="27"/>
      <c r="E6" s="27"/>
      <c r="F6" s="27"/>
      <c r="G6" s="27"/>
      <c r="H6" s="28"/>
    </row>
    <row r="7" spans="1:12" ht="14.25" customHeight="1">
      <c r="B7" s="1" t="s">
        <v>7</v>
      </c>
      <c r="C7" s="26" t="s">
        <v>8</v>
      </c>
      <c r="D7" s="27"/>
      <c r="E7" s="27"/>
      <c r="F7" s="27"/>
      <c r="G7" s="27"/>
      <c r="H7" s="28"/>
    </row>
    <row r="8" spans="1:12" ht="14.25" customHeight="1">
      <c r="B8" s="1" t="s">
        <v>9</v>
      </c>
      <c r="C8" s="26" t="s">
        <v>10</v>
      </c>
      <c r="D8" s="27"/>
      <c r="E8" s="27"/>
      <c r="F8" s="27"/>
      <c r="G8" s="27"/>
      <c r="H8" s="28"/>
    </row>
    <row r="9" spans="1:12" ht="14.25" customHeight="1">
      <c r="B9" s="1" t="s">
        <v>11</v>
      </c>
      <c r="C9" s="26" t="s">
        <v>12</v>
      </c>
      <c r="D9" s="27"/>
      <c r="E9" s="27"/>
      <c r="F9" s="27"/>
      <c r="G9" s="27"/>
      <c r="H9" s="28"/>
    </row>
    <row r="10" spans="1:12" ht="14.25" customHeight="1">
      <c r="B10" s="1" t="s">
        <v>13</v>
      </c>
      <c r="C10" s="26" t="s">
        <v>14</v>
      </c>
      <c r="D10" s="27"/>
      <c r="E10" s="27"/>
      <c r="F10" s="27"/>
      <c r="G10" s="27"/>
      <c r="H10" s="28"/>
    </row>
    <row r="11" spans="1:12" ht="15.75" customHeight="1">
      <c r="B11" s="29" t="s">
        <v>15</v>
      </c>
      <c r="C11" s="30"/>
      <c r="D11" s="29"/>
      <c r="E11" s="30"/>
      <c r="F11" s="30"/>
      <c r="G11" s="30"/>
      <c r="H11" s="30"/>
    </row>
    <row r="12" spans="1:12" ht="14.25" customHeight="1">
      <c r="A12" s="31" t="s">
        <v>16</v>
      </c>
      <c r="B12" s="34" t="s">
        <v>17</v>
      </c>
      <c r="C12" s="37" t="s">
        <v>18</v>
      </c>
      <c r="D12" s="38" t="s">
        <v>19</v>
      </c>
      <c r="E12" s="39"/>
      <c r="F12" s="39"/>
      <c r="G12" s="39"/>
      <c r="H12" s="40"/>
      <c r="L12" s="2"/>
    </row>
    <row r="13" spans="1:12" ht="14.25" customHeight="1">
      <c r="A13" s="32"/>
      <c r="B13" s="35"/>
      <c r="C13" s="35"/>
      <c r="D13" s="3" t="s">
        <v>20</v>
      </c>
      <c r="E13" s="4" t="s">
        <v>21</v>
      </c>
      <c r="F13" s="3" t="s">
        <v>22</v>
      </c>
      <c r="G13" s="4" t="s">
        <v>23</v>
      </c>
      <c r="H13" s="5" t="s">
        <v>24</v>
      </c>
      <c r="L13" s="6"/>
    </row>
    <row r="14" spans="1:12" ht="15.75" customHeight="1">
      <c r="A14" s="33"/>
      <c r="B14" s="36"/>
      <c r="C14" s="36"/>
      <c r="D14" s="7">
        <v>1</v>
      </c>
      <c r="E14" s="8">
        <v>1</v>
      </c>
      <c r="F14" s="7">
        <v>3</v>
      </c>
      <c r="G14" s="8">
        <v>3</v>
      </c>
      <c r="H14" s="9">
        <v>2</v>
      </c>
      <c r="L14" s="6"/>
    </row>
    <row r="15" spans="1:12" ht="14.25" customHeight="1">
      <c r="A15" s="10">
        <v>1</v>
      </c>
      <c r="B15" s="10" t="s">
        <v>25</v>
      </c>
      <c r="C15" s="10" t="s">
        <v>26</v>
      </c>
      <c r="D15" s="10">
        <f>'CP1.26'!L15</f>
        <v>90</v>
      </c>
      <c r="E15" s="11">
        <f>'CP1.27'!M15</f>
        <v>87.5</v>
      </c>
      <c r="F15" s="12">
        <f>'CP1.28'!J15</f>
        <v>86</v>
      </c>
      <c r="G15" s="10">
        <f>'CP1.29'!L15</f>
        <v>91</v>
      </c>
      <c r="H15" s="13">
        <f>'CP1.30'!L15</f>
        <v>87.75</v>
      </c>
      <c r="L15" s="14">
        <f>(D15+E15+3*F15+3*G15+2*H15)/10</f>
        <v>88.4</v>
      </c>
    </row>
    <row r="16" spans="1:12" ht="14.25" customHeight="1">
      <c r="A16" s="10">
        <v>2</v>
      </c>
      <c r="B16" s="10" t="s">
        <v>27</v>
      </c>
      <c r="C16" s="10" t="s">
        <v>28</v>
      </c>
      <c r="D16" s="10">
        <f>'CP1.26'!L16</f>
        <v>90</v>
      </c>
      <c r="E16" s="11">
        <f>'CP1.27'!M16</f>
        <v>62.5</v>
      </c>
      <c r="F16" s="12">
        <f>'CP1.28'!J16</f>
        <v>85.333333333333329</v>
      </c>
      <c r="G16" s="10">
        <f>'CP1.29'!L16</f>
        <v>91</v>
      </c>
      <c r="H16" s="13">
        <f>'CP1.30'!L16</f>
        <v>84</v>
      </c>
      <c r="L16" s="14">
        <f t="shared" ref="L16:L49" si="0">(D16+E16+3*F16+3*G16+2*H16)/10</f>
        <v>84.95</v>
      </c>
    </row>
    <row r="17" spans="1:12" ht="14.25" customHeight="1">
      <c r="A17" s="10">
        <v>3</v>
      </c>
      <c r="B17" s="10" t="s">
        <v>29</v>
      </c>
      <c r="C17" s="10" t="s">
        <v>30</v>
      </c>
      <c r="D17" s="10" t="str">
        <f>'CP1.26'!L17</f>
        <v>-</v>
      </c>
      <c r="E17" s="11"/>
      <c r="F17" s="12"/>
      <c r="G17" s="10"/>
      <c r="H17" s="13"/>
      <c r="L17" s="14" t="e">
        <f t="shared" si="0"/>
        <v>#VALUE!</v>
      </c>
    </row>
    <row r="18" spans="1:12" ht="14.25" customHeight="1">
      <c r="A18" s="10">
        <v>4</v>
      </c>
      <c r="B18" s="10" t="s">
        <v>31</v>
      </c>
      <c r="C18" s="10" t="s">
        <v>32</v>
      </c>
      <c r="D18" s="10">
        <f>'CP1.26'!L18</f>
        <v>83</v>
      </c>
      <c r="E18" s="11">
        <f>'CP1.27'!M18</f>
        <v>68.75</v>
      </c>
      <c r="F18" s="12">
        <f>'CP1.28'!J18</f>
        <v>85.333333333333329</v>
      </c>
      <c r="G18" s="10">
        <f>'CP1.29'!L18</f>
        <v>82</v>
      </c>
      <c r="H18" s="13">
        <f>'CP1.30'!L18</f>
        <v>83</v>
      </c>
      <c r="L18" s="14">
        <f t="shared" si="0"/>
        <v>81.974999999999994</v>
      </c>
    </row>
    <row r="19" spans="1:12" ht="14.25" customHeight="1">
      <c r="A19" s="10">
        <v>5</v>
      </c>
      <c r="B19" s="10" t="s">
        <v>33</v>
      </c>
      <c r="C19" s="10" t="s">
        <v>34</v>
      </c>
      <c r="D19" s="10">
        <f>'CP1.26'!L19</f>
        <v>83</v>
      </c>
      <c r="E19" s="11">
        <f>'CP1.27'!M19</f>
        <v>0</v>
      </c>
      <c r="F19" s="12">
        <f>'CP1.28'!J19</f>
        <v>87</v>
      </c>
      <c r="G19" s="10">
        <f>'CP1.29'!L19</f>
        <v>85</v>
      </c>
      <c r="H19" s="13">
        <f>'CP1.30'!L19</f>
        <v>79.75</v>
      </c>
      <c r="L19" s="14">
        <f t="shared" si="0"/>
        <v>75.849999999999994</v>
      </c>
    </row>
    <row r="20" spans="1:12" ht="14.25" customHeight="1">
      <c r="A20" s="10">
        <v>6</v>
      </c>
      <c r="B20" s="10" t="s">
        <v>35</v>
      </c>
      <c r="C20" s="10" t="s">
        <v>36</v>
      </c>
      <c r="D20" s="10">
        <f>'CP1.26'!L20</f>
        <v>90</v>
      </c>
      <c r="E20" s="11">
        <f>'CP1.27'!M20</f>
        <v>56.25</v>
      </c>
      <c r="F20" s="12">
        <f>'CP1.28'!J20</f>
        <v>84.333333333333329</v>
      </c>
      <c r="G20" s="10">
        <f>'CP1.29'!L20</f>
        <v>82</v>
      </c>
      <c r="H20" s="13">
        <f>'CP1.30'!L20</f>
        <v>83</v>
      </c>
      <c r="L20" s="14">
        <f t="shared" si="0"/>
        <v>81.125</v>
      </c>
    </row>
    <row r="21" spans="1:12" ht="14.25" customHeight="1">
      <c r="A21" s="10">
        <v>7</v>
      </c>
      <c r="B21" s="10" t="s">
        <v>37</v>
      </c>
      <c r="C21" s="10" t="s">
        <v>38</v>
      </c>
      <c r="D21" s="10" t="str">
        <f>'CP1.26'!L21</f>
        <v>-</v>
      </c>
      <c r="E21" s="11"/>
      <c r="F21" s="12"/>
      <c r="G21" s="10"/>
      <c r="H21" s="13"/>
      <c r="L21" s="14" t="e">
        <f t="shared" si="0"/>
        <v>#VALUE!</v>
      </c>
    </row>
    <row r="22" spans="1:12" ht="14.25" customHeight="1">
      <c r="A22" s="10">
        <v>8</v>
      </c>
      <c r="B22" s="10" t="s">
        <v>39</v>
      </c>
      <c r="C22" s="10" t="s">
        <v>40</v>
      </c>
      <c r="D22" s="10">
        <f>'CP1.26'!L22</f>
        <v>83</v>
      </c>
      <c r="E22" s="11">
        <f>'CP1.27'!M22</f>
        <v>0</v>
      </c>
      <c r="F22" s="12">
        <f>'CP1.28'!J22</f>
        <v>84.666666666666671</v>
      </c>
      <c r="G22" s="10">
        <f>'CP1.29'!L22</f>
        <v>89</v>
      </c>
      <c r="H22" s="13">
        <f>'CP1.30'!L22</f>
        <v>86.5</v>
      </c>
      <c r="L22" s="14">
        <f t="shared" si="0"/>
        <v>77.7</v>
      </c>
    </row>
    <row r="23" spans="1:12" ht="14.25" customHeight="1">
      <c r="A23" s="10">
        <v>9</v>
      </c>
      <c r="B23" s="10" t="s">
        <v>41</v>
      </c>
      <c r="C23" s="10" t="s">
        <v>42</v>
      </c>
      <c r="D23" s="10">
        <f>'CP1.26'!L23</f>
        <v>83</v>
      </c>
      <c r="E23" s="11">
        <f>'CP1.27'!M23</f>
        <v>0</v>
      </c>
      <c r="F23" s="12">
        <f>'CP1.28'!J23</f>
        <v>79.666666666666671</v>
      </c>
      <c r="G23" s="10">
        <f>'CP1.29'!L23</f>
        <v>92</v>
      </c>
      <c r="H23" s="13">
        <f>'CP1.30'!L23</f>
        <v>85.75</v>
      </c>
      <c r="L23" s="14">
        <f t="shared" si="0"/>
        <v>76.95</v>
      </c>
    </row>
    <row r="24" spans="1:12" ht="14.25" customHeight="1">
      <c r="A24" s="10">
        <v>10</v>
      </c>
      <c r="B24" s="10" t="s">
        <v>43</v>
      </c>
      <c r="C24" s="10" t="s">
        <v>44</v>
      </c>
      <c r="D24" s="10">
        <f>'CP1.26'!L24</f>
        <v>90</v>
      </c>
      <c r="E24" s="11">
        <f>'CP1.27'!M24</f>
        <v>0</v>
      </c>
      <c r="F24" s="12">
        <f>'CP1.28'!J24</f>
        <v>80.666666666666671</v>
      </c>
      <c r="G24" s="10">
        <f>'CP1.29'!L24</f>
        <v>89</v>
      </c>
      <c r="H24" s="13">
        <f>'CP1.30'!L24</f>
        <v>86.5</v>
      </c>
      <c r="L24" s="14">
        <f t="shared" si="0"/>
        <v>77.2</v>
      </c>
    </row>
    <row r="25" spans="1:12" ht="14.25" customHeight="1">
      <c r="A25" s="10">
        <v>11</v>
      </c>
      <c r="B25" s="10" t="s">
        <v>45</v>
      </c>
      <c r="C25" s="10" t="s">
        <v>46</v>
      </c>
      <c r="D25" s="10">
        <f>'CP1.26'!L25</f>
        <v>90</v>
      </c>
      <c r="E25" s="11">
        <f>'CP1.27'!M25</f>
        <v>81.25</v>
      </c>
      <c r="F25" s="12">
        <f>'CP1.28'!J25</f>
        <v>83</v>
      </c>
      <c r="G25" s="10">
        <f>'CP1.29'!L25</f>
        <v>89</v>
      </c>
      <c r="H25" s="13">
        <f>'CP1.30'!L25</f>
        <v>86.5</v>
      </c>
      <c r="L25" s="14">
        <f t="shared" si="0"/>
        <v>86.025000000000006</v>
      </c>
    </row>
    <row r="26" spans="1:12" ht="14.25" customHeight="1">
      <c r="A26" s="10">
        <v>12</v>
      </c>
      <c r="B26" s="10" t="s">
        <v>47</v>
      </c>
      <c r="C26" s="10" t="s">
        <v>48</v>
      </c>
      <c r="D26" s="10">
        <f>'CP1.26'!L26</f>
        <v>75</v>
      </c>
      <c r="E26" s="11">
        <f>'CP1.27'!M26</f>
        <v>50</v>
      </c>
      <c r="F26" s="12">
        <f>'CP1.28'!J26</f>
        <v>78.333333333333329</v>
      </c>
      <c r="G26" s="10">
        <f>'CP1.29'!L26</f>
        <v>85</v>
      </c>
      <c r="H26" s="13">
        <f>'CP1.30'!L26</f>
        <v>79.75</v>
      </c>
      <c r="L26" s="14">
        <f t="shared" si="0"/>
        <v>77.45</v>
      </c>
    </row>
    <row r="27" spans="1:12" ht="14.25" customHeight="1">
      <c r="A27" s="10">
        <v>13</v>
      </c>
      <c r="B27" s="10" t="s">
        <v>49</v>
      </c>
      <c r="C27" s="10" t="s">
        <v>50</v>
      </c>
      <c r="D27" s="10">
        <f>'CP1.26'!L27</f>
        <v>90</v>
      </c>
      <c r="E27" s="11">
        <f>'CP1.27'!M27</f>
        <v>75</v>
      </c>
      <c r="F27" s="12">
        <f>'CP1.28'!J27</f>
        <v>84</v>
      </c>
      <c r="G27" s="10">
        <f>'CP1.29'!L27</f>
        <v>91</v>
      </c>
      <c r="H27" s="13">
        <f>'CP1.30'!L27</f>
        <v>84</v>
      </c>
      <c r="L27" s="14">
        <f t="shared" si="0"/>
        <v>85.8</v>
      </c>
    </row>
    <row r="28" spans="1:12" ht="14.25" customHeight="1">
      <c r="A28" s="10">
        <v>14</v>
      </c>
      <c r="B28" s="10" t="s">
        <v>51</v>
      </c>
      <c r="C28" s="10" t="s">
        <v>52</v>
      </c>
      <c r="D28" s="10">
        <f>'CP1.26'!L28</f>
        <v>90</v>
      </c>
      <c r="E28" s="11">
        <f>'CP1.27'!M28</f>
        <v>56.25</v>
      </c>
      <c r="F28" s="12">
        <f>'CP1.28'!J28</f>
        <v>80</v>
      </c>
      <c r="G28" s="10">
        <f>'CP1.29'!L28</f>
        <v>82</v>
      </c>
      <c r="H28" s="13">
        <f>'CP1.30'!L28</f>
        <v>83</v>
      </c>
      <c r="L28" s="14">
        <f t="shared" si="0"/>
        <v>79.825000000000003</v>
      </c>
    </row>
    <row r="29" spans="1:12" ht="14.25" customHeight="1">
      <c r="A29" s="10">
        <v>15</v>
      </c>
      <c r="B29" s="10" t="s">
        <v>53</v>
      </c>
      <c r="C29" s="10" t="s">
        <v>54</v>
      </c>
      <c r="D29" s="10">
        <f>'CP1.26'!L29</f>
        <v>90</v>
      </c>
      <c r="E29" s="11">
        <f>'CP1.27'!M29</f>
        <v>75</v>
      </c>
      <c r="F29" s="12">
        <f>'CP1.28'!J29</f>
        <v>85.333333333333329</v>
      </c>
      <c r="G29" s="10">
        <f>'CP1.29'!L29</f>
        <v>92</v>
      </c>
      <c r="H29" s="13">
        <f>'CP1.30'!L29</f>
        <v>85.75</v>
      </c>
      <c r="L29" s="14">
        <f t="shared" si="0"/>
        <v>86.85</v>
      </c>
    </row>
    <row r="30" spans="1:12" ht="14.25" customHeight="1">
      <c r="A30" s="10">
        <v>16</v>
      </c>
      <c r="B30" s="10" t="s">
        <v>55</v>
      </c>
      <c r="C30" s="10" t="s">
        <v>56</v>
      </c>
      <c r="D30" s="10">
        <f>'CP1.26'!L30</f>
        <v>83</v>
      </c>
      <c r="E30" s="11">
        <f>'CP1.27'!M30</f>
        <v>56.25</v>
      </c>
      <c r="F30" s="12">
        <f>'CP1.28'!J30</f>
        <v>82.333333333333329</v>
      </c>
      <c r="G30" s="10">
        <f>'CP1.29'!L30</f>
        <v>89</v>
      </c>
      <c r="H30" s="13">
        <f>'CP1.30'!L30</f>
        <v>86.5</v>
      </c>
      <c r="L30" s="14">
        <f t="shared" si="0"/>
        <v>82.625</v>
      </c>
    </row>
    <row r="31" spans="1:12" ht="14.25" customHeight="1">
      <c r="A31" s="10">
        <v>17</v>
      </c>
      <c r="B31" s="10" t="s">
        <v>57</v>
      </c>
      <c r="C31" s="10" t="s">
        <v>58</v>
      </c>
      <c r="D31" s="10">
        <f>'CP1.26'!L31</f>
        <v>90</v>
      </c>
      <c r="E31" s="11">
        <f>'CP1.27'!M31</f>
        <v>68.75</v>
      </c>
      <c r="F31" s="12">
        <f>'CP1.28'!J31</f>
        <v>63.666666666666664</v>
      </c>
      <c r="G31" s="10">
        <f>'CP1.29'!L31</f>
        <v>91</v>
      </c>
      <c r="H31" s="13">
        <f>'CP1.30'!L31</f>
        <v>87.75</v>
      </c>
      <c r="L31" s="14">
        <f t="shared" si="0"/>
        <v>79.825000000000003</v>
      </c>
    </row>
    <row r="32" spans="1:12" ht="14.25" customHeight="1">
      <c r="A32" s="10">
        <v>18</v>
      </c>
      <c r="B32" s="10" t="s">
        <v>59</v>
      </c>
      <c r="C32" s="10" t="s">
        <v>60</v>
      </c>
      <c r="D32" s="10">
        <f>'CP1.26'!L32</f>
        <v>83</v>
      </c>
      <c r="E32" s="11">
        <f>'CP1.27'!M32</f>
        <v>56.25</v>
      </c>
      <c r="F32" s="12">
        <f>'CP1.28'!J32</f>
        <v>77.333333333333329</v>
      </c>
      <c r="G32" s="10">
        <f>'CP1.29'!L32</f>
        <v>91</v>
      </c>
      <c r="H32" s="13">
        <f>'CP1.30'!L32</f>
        <v>87.75</v>
      </c>
      <c r="L32" s="14">
        <f t="shared" si="0"/>
        <v>81.974999999999994</v>
      </c>
    </row>
    <row r="33" spans="1:12" ht="14.25" customHeight="1">
      <c r="A33" s="10">
        <v>19</v>
      </c>
      <c r="B33" s="10" t="s">
        <v>61</v>
      </c>
      <c r="C33" s="10" t="s">
        <v>62</v>
      </c>
      <c r="D33" s="10">
        <f>'CP1.26'!L33</f>
        <v>78</v>
      </c>
      <c r="E33" s="11">
        <f>'CP1.27'!M33</f>
        <v>56.25</v>
      </c>
      <c r="F33" s="12">
        <f>'CP1.28'!J33</f>
        <v>71</v>
      </c>
      <c r="G33" s="10">
        <f>'CP1.29'!L33</f>
        <v>91</v>
      </c>
      <c r="H33" s="13">
        <f>'CP1.30'!L33</f>
        <v>84</v>
      </c>
      <c r="L33" s="14">
        <f t="shared" si="0"/>
        <v>78.825000000000003</v>
      </c>
    </row>
    <row r="34" spans="1:12" ht="14.25" customHeight="1">
      <c r="A34" s="10">
        <v>20</v>
      </c>
      <c r="B34" s="10" t="s">
        <v>63</v>
      </c>
      <c r="C34" s="10" t="s">
        <v>64</v>
      </c>
      <c r="D34" s="10">
        <f>'CP1.26'!L34</f>
        <v>83</v>
      </c>
      <c r="E34" s="11">
        <f>'CP1.27'!M34</f>
        <v>68.75</v>
      </c>
      <c r="F34" s="12">
        <f>'CP1.28'!J34</f>
        <v>67.333333333333329</v>
      </c>
      <c r="G34" s="10">
        <f>'CP1.29'!L34</f>
        <v>91</v>
      </c>
      <c r="H34" s="13">
        <f>'CP1.30'!L34</f>
        <v>87.75</v>
      </c>
      <c r="L34" s="14">
        <f t="shared" si="0"/>
        <v>80.224999999999994</v>
      </c>
    </row>
    <row r="35" spans="1:12" ht="14.25" customHeight="1">
      <c r="A35" s="10">
        <v>21</v>
      </c>
      <c r="B35" s="10" t="s">
        <v>65</v>
      </c>
      <c r="C35" s="10" t="s">
        <v>66</v>
      </c>
      <c r="D35" s="10">
        <f>'CP1.26'!L35</f>
        <v>90</v>
      </c>
      <c r="E35" s="11">
        <f>'CP1.27'!M35</f>
        <v>0</v>
      </c>
      <c r="F35" s="12">
        <f>'CP1.28'!J35</f>
        <v>72.666666666666671</v>
      </c>
      <c r="G35" s="10">
        <f>'CP1.29'!L35</f>
        <v>89</v>
      </c>
      <c r="H35" s="13">
        <f>'CP1.30'!L35</f>
        <v>86.5</v>
      </c>
      <c r="L35" s="14">
        <f t="shared" si="0"/>
        <v>74.8</v>
      </c>
    </row>
    <row r="36" spans="1:12" ht="14.25" customHeight="1">
      <c r="A36" s="10">
        <v>22</v>
      </c>
      <c r="B36" s="10" t="s">
        <v>67</v>
      </c>
      <c r="C36" s="10" t="s">
        <v>68</v>
      </c>
      <c r="D36" s="10">
        <f>'CP1.26'!L36</f>
        <v>90</v>
      </c>
      <c r="E36" s="11">
        <f>'CP1.27'!M36</f>
        <v>62.5</v>
      </c>
      <c r="F36" s="12">
        <f>'CP1.28'!J36</f>
        <v>58</v>
      </c>
      <c r="G36" s="10">
        <f>'CP1.29'!L36</f>
        <v>85</v>
      </c>
      <c r="H36" s="13">
        <f>'CP1.30'!L36</f>
        <v>79.75</v>
      </c>
      <c r="L36" s="14">
        <f t="shared" si="0"/>
        <v>74.099999999999994</v>
      </c>
    </row>
    <row r="37" spans="1:12" ht="14.25" customHeight="1">
      <c r="A37" s="10">
        <v>23</v>
      </c>
      <c r="B37" s="10" t="s">
        <v>69</v>
      </c>
      <c r="C37" s="10" t="s">
        <v>70</v>
      </c>
      <c r="D37" s="10">
        <f>'CP1.26'!L37</f>
        <v>78</v>
      </c>
      <c r="E37" s="11">
        <f>'CP1.27'!M37</f>
        <v>68.75</v>
      </c>
      <c r="F37" s="12">
        <f>'CP1.28'!J37</f>
        <v>78.333333333333329</v>
      </c>
      <c r="G37" s="10">
        <f>'CP1.29'!L37</f>
        <v>85</v>
      </c>
      <c r="H37" s="13">
        <f>'CP1.30'!L37</f>
        <v>79.75</v>
      </c>
      <c r="L37" s="14">
        <f t="shared" si="0"/>
        <v>79.625</v>
      </c>
    </row>
    <row r="38" spans="1:12" ht="14.25" customHeight="1">
      <c r="A38" s="10">
        <v>24</v>
      </c>
      <c r="B38" s="10" t="s">
        <v>71</v>
      </c>
      <c r="C38" s="10" t="s">
        <v>72</v>
      </c>
      <c r="D38" s="10">
        <f>'CP1.26'!L38</f>
        <v>78</v>
      </c>
      <c r="E38" s="11">
        <f>'CP1.27'!M38</f>
        <v>62.5</v>
      </c>
      <c r="F38" s="12">
        <f>'CP1.28'!J38</f>
        <v>69</v>
      </c>
      <c r="G38" s="10">
        <f>'CP1.29'!L38</f>
        <v>92</v>
      </c>
      <c r="H38" s="25">
        <f>'CP1.30'!L38</f>
        <v>85.75</v>
      </c>
      <c r="L38" s="14">
        <f t="shared" si="0"/>
        <v>79.5</v>
      </c>
    </row>
    <row r="39" spans="1:12" ht="14.25" customHeight="1">
      <c r="A39" s="10">
        <v>25</v>
      </c>
      <c r="B39" s="10" t="s">
        <v>73</v>
      </c>
      <c r="C39" s="10" t="s">
        <v>74</v>
      </c>
      <c r="D39" s="10">
        <f>'CP1.26'!L39</f>
        <v>78</v>
      </c>
      <c r="E39" s="11">
        <f>'CP1.27'!M39</f>
        <v>81.25</v>
      </c>
      <c r="F39" s="12">
        <f>'CP1.28'!J39</f>
        <v>75.333333333333329</v>
      </c>
      <c r="G39" s="10">
        <f>'CP1.29'!L39</f>
        <v>82</v>
      </c>
      <c r="H39" s="13">
        <f>'CP1.30'!L39</f>
        <v>83</v>
      </c>
      <c r="L39" s="14">
        <f t="shared" si="0"/>
        <v>79.724999999999994</v>
      </c>
    </row>
    <row r="40" spans="1:12" ht="14.25" customHeight="1">
      <c r="A40" s="10">
        <v>26</v>
      </c>
      <c r="B40" s="10" t="s">
        <v>75</v>
      </c>
      <c r="C40" s="10" t="s">
        <v>76</v>
      </c>
      <c r="D40" s="10">
        <f>'CP1.26'!L40</f>
        <v>78</v>
      </c>
      <c r="E40" s="11">
        <f>'CP1.27'!M40</f>
        <v>0</v>
      </c>
      <c r="F40" s="12">
        <f>'CP1.28'!J40</f>
        <v>41.333333333333336</v>
      </c>
      <c r="G40" s="10">
        <f>'CP1.29'!L40</f>
        <v>92</v>
      </c>
      <c r="H40" s="13">
        <f>'CP1.30'!L40</f>
        <v>85.75</v>
      </c>
      <c r="L40" s="14">
        <f t="shared" si="0"/>
        <v>64.95</v>
      </c>
    </row>
    <row r="41" spans="1:12" ht="14.25" customHeight="1">
      <c r="A41" s="10">
        <v>27</v>
      </c>
      <c r="B41" s="10" t="s">
        <v>77</v>
      </c>
      <c r="C41" s="10" t="s">
        <v>78</v>
      </c>
      <c r="D41" s="10">
        <f>'CP1.26'!L41</f>
        <v>90</v>
      </c>
      <c r="E41" s="11">
        <f>'CP1.27'!M41</f>
        <v>0</v>
      </c>
      <c r="F41" s="12">
        <f>'CP1.28'!J41</f>
        <v>83</v>
      </c>
      <c r="G41" s="10">
        <f>'CP1.29'!L41</f>
        <v>85</v>
      </c>
      <c r="H41" s="13">
        <f>'CP1.30'!L41</f>
        <v>79.75</v>
      </c>
      <c r="L41" s="14">
        <f t="shared" si="0"/>
        <v>75.349999999999994</v>
      </c>
    </row>
    <row r="42" spans="1:12" ht="14.25" customHeight="1">
      <c r="A42" s="10">
        <v>28</v>
      </c>
      <c r="B42" s="10" t="s">
        <v>79</v>
      </c>
      <c r="C42" s="10" t="s">
        <v>80</v>
      </c>
      <c r="D42" s="10">
        <f>'CP1.26'!L42</f>
        <v>78</v>
      </c>
      <c r="E42" s="11">
        <f>'CP1.27'!M42</f>
        <v>43.75</v>
      </c>
      <c r="F42" s="12">
        <f>'CP1.28'!J42</f>
        <v>85</v>
      </c>
      <c r="G42" s="10">
        <f>'CP1.29'!L42</f>
        <v>89</v>
      </c>
      <c r="H42" s="13">
        <f>'CP1.30'!L42</f>
        <v>86.5</v>
      </c>
      <c r="L42" s="14">
        <f t="shared" si="0"/>
        <v>81.674999999999997</v>
      </c>
    </row>
    <row r="43" spans="1:12" ht="14.25" customHeight="1">
      <c r="A43" s="10">
        <v>29</v>
      </c>
      <c r="B43" s="10" t="s">
        <v>81</v>
      </c>
      <c r="C43" s="10" t="s">
        <v>82</v>
      </c>
      <c r="D43" s="10">
        <f>'CP1.26'!L43</f>
        <v>75</v>
      </c>
      <c r="E43" s="11">
        <f>'CP1.27'!M43</f>
        <v>62.5</v>
      </c>
      <c r="F43" s="12">
        <f>'CP1.28'!J43</f>
        <v>82.333333333333329</v>
      </c>
      <c r="G43" s="10">
        <f>'CP1.29'!L43</f>
        <v>91</v>
      </c>
      <c r="H43" s="13">
        <f>'CP1.30'!L43</f>
        <v>87.75</v>
      </c>
      <c r="L43" s="14">
        <f t="shared" si="0"/>
        <v>83.3</v>
      </c>
    </row>
    <row r="44" spans="1:12" ht="14.25" customHeight="1">
      <c r="A44" s="10">
        <v>30</v>
      </c>
      <c r="B44" s="10" t="s">
        <v>83</v>
      </c>
      <c r="C44" s="10" t="s">
        <v>84</v>
      </c>
      <c r="D44" s="10" t="str">
        <f>'CP1.26'!L44</f>
        <v>-</v>
      </c>
      <c r="E44" s="11"/>
      <c r="F44" s="12"/>
      <c r="G44" s="10"/>
      <c r="H44" s="13"/>
      <c r="L44" s="14" t="e">
        <f t="shared" si="0"/>
        <v>#VALUE!</v>
      </c>
    </row>
    <row r="45" spans="1:12" ht="14.25" customHeight="1">
      <c r="A45" s="10">
        <v>31</v>
      </c>
      <c r="B45" s="10" t="s">
        <v>85</v>
      </c>
      <c r="C45" s="10" t="s">
        <v>86</v>
      </c>
      <c r="D45" s="10">
        <f>'CP1.26'!L45</f>
        <v>90</v>
      </c>
      <c r="E45" s="11">
        <f>'CP1.27'!M45</f>
        <v>25</v>
      </c>
      <c r="F45" s="12">
        <f>'CP1.28'!J45</f>
        <v>82.333333333333329</v>
      </c>
      <c r="G45" s="10">
        <f>'CP1.29'!L45</f>
        <v>92</v>
      </c>
      <c r="H45" s="13">
        <f>'CP1.30'!L45</f>
        <v>85.75</v>
      </c>
      <c r="L45" s="14">
        <f t="shared" si="0"/>
        <v>80.95</v>
      </c>
    </row>
    <row r="46" spans="1:12" ht="14.25" customHeight="1">
      <c r="A46" s="10">
        <v>32</v>
      </c>
      <c r="B46" s="10" t="s">
        <v>87</v>
      </c>
      <c r="C46" s="10" t="s">
        <v>88</v>
      </c>
      <c r="D46" s="10">
        <f>'CP1.26'!L46</f>
        <v>75</v>
      </c>
      <c r="E46" s="11">
        <f>'CP1.27'!M46</f>
        <v>68.75</v>
      </c>
      <c r="F46" s="12">
        <f>'CP1.28'!J46</f>
        <v>84</v>
      </c>
      <c r="G46" s="10">
        <f>'CP1.29'!L46</f>
        <v>82</v>
      </c>
      <c r="H46" s="13">
        <f>'CP1.30'!L46</f>
        <v>83</v>
      </c>
      <c r="L46" s="14">
        <f t="shared" si="0"/>
        <v>80.775000000000006</v>
      </c>
    </row>
    <row r="47" spans="1:12" ht="14.25" customHeight="1">
      <c r="A47" s="10">
        <v>33</v>
      </c>
      <c r="B47" s="10" t="s">
        <v>89</v>
      </c>
      <c r="C47" s="10" t="s">
        <v>90</v>
      </c>
      <c r="D47" s="10" t="str">
        <f>'CP1.26'!L47</f>
        <v>-</v>
      </c>
      <c r="E47" s="11"/>
      <c r="F47" s="12"/>
      <c r="G47" s="10"/>
      <c r="H47" s="13"/>
      <c r="L47" s="14" t="e">
        <f t="shared" si="0"/>
        <v>#VALUE!</v>
      </c>
    </row>
    <row r="48" spans="1:12" ht="14.25" customHeight="1">
      <c r="A48" s="10">
        <v>34</v>
      </c>
      <c r="B48" s="10" t="s">
        <v>91</v>
      </c>
      <c r="C48" s="10" t="s">
        <v>92</v>
      </c>
      <c r="D48" s="10">
        <f>'CP1.26'!L48</f>
        <v>75</v>
      </c>
      <c r="E48" s="11">
        <f>'CP1.27'!M48</f>
        <v>56.25</v>
      </c>
      <c r="F48" s="12">
        <f>'CP1.28'!J48</f>
        <v>83.333333333333329</v>
      </c>
      <c r="G48" s="10">
        <f>'CP1.29'!L48</f>
        <v>91</v>
      </c>
      <c r="H48" s="13">
        <f>'CP1.30'!L48</f>
        <v>84</v>
      </c>
      <c r="L48" s="14">
        <f t="shared" si="0"/>
        <v>82.224999999999994</v>
      </c>
    </row>
    <row r="49" spans="1:12" ht="14.25" customHeight="1">
      <c r="A49" s="10">
        <v>35</v>
      </c>
      <c r="B49" s="10" t="s">
        <v>93</v>
      </c>
      <c r="C49" s="10" t="s">
        <v>94</v>
      </c>
      <c r="D49" s="10">
        <f>'CP1.26'!L49</f>
        <v>75</v>
      </c>
      <c r="E49" s="11">
        <f>'CP1.27'!M49</f>
        <v>62.5</v>
      </c>
      <c r="F49" s="12">
        <f>'CP1.28'!J49</f>
        <v>82.333333333333329</v>
      </c>
      <c r="G49" s="10">
        <f>'CP1.29'!L49</f>
        <v>91</v>
      </c>
      <c r="H49" s="13">
        <f>'CP1.30'!L49</f>
        <v>84</v>
      </c>
      <c r="L49" s="14">
        <f t="shared" si="0"/>
        <v>82.55</v>
      </c>
    </row>
    <row r="50" spans="1:12" ht="14.25" customHeight="1"/>
    <row r="51" spans="1:12" ht="14.25" customHeight="1"/>
    <row r="52" spans="1:12" ht="14.25" customHeight="1"/>
    <row r="53" spans="1:12" ht="14.25" customHeight="1"/>
    <row r="54" spans="1:12" ht="14.25" customHeight="1"/>
    <row r="55" spans="1:12" ht="14.25" customHeight="1"/>
    <row r="56" spans="1:12" ht="14.25" customHeight="1"/>
    <row r="57" spans="1:12" ht="14.25" customHeight="1"/>
    <row r="58" spans="1:12" ht="14.25" customHeight="1"/>
    <row r="59" spans="1:12" ht="14.25" customHeight="1"/>
    <row r="60" spans="1:12" ht="14.25" customHeight="1"/>
    <row r="61" spans="1:12" ht="14.25" customHeight="1"/>
    <row r="62" spans="1:12" ht="14.25" customHeight="1"/>
    <row r="63" spans="1:12" ht="14.25" customHeight="1"/>
    <row r="64" spans="1:12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</sheetData>
  <mergeCells count="14">
    <mergeCell ref="C8:H8"/>
    <mergeCell ref="C9:H9"/>
    <mergeCell ref="A2:H2"/>
    <mergeCell ref="C4:H4"/>
    <mergeCell ref="C5:H5"/>
    <mergeCell ref="C6:H6"/>
    <mergeCell ref="C7:H7"/>
    <mergeCell ref="C10:H10"/>
    <mergeCell ref="B11:C11"/>
    <mergeCell ref="D11:H11"/>
    <mergeCell ref="A12:A14"/>
    <mergeCell ref="B12:B14"/>
    <mergeCell ref="C12:C14"/>
    <mergeCell ref="D12:H1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0"/>
  <sheetViews>
    <sheetView showGridLines="0" workbookViewId="0"/>
  </sheetViews>
  <sheetFormatPr defaultColWidth="14.3984375" defaultRowHeight="15" customHeight="1"/>
  <cols>
    <col min="1" max="1" width="3.53125" customWidth="1"/>
    <col min="2" max="2" width="17.3984375" customWidth="1"/>
    <col min="3" max="3" width="32.73046875" customWidth="1"/>
    <col min="4" max="8" width="9.86328125" customWidth="1"/>
    <col min="9" max="26" width="8.73046875" customWidth="1"/>
  </cols>
  <sheetData>
    <row r="1" spans="1:13" ht="14.25" customHeight="1"/>
    <row r="2" spans="1:13" ht="14.25" customHeight="1">
      <c r="A2" s="41" t="s">
        <v>0</v>
      </c>
      <c r="B2" s="42"/>
      <c r="C2" s="42"/>
      <c r="D2" s="42"/>
      <c r="E2" s="42"/>
      <c r="F2" s="42"/>
      <c r="G2" s="42"/>
      <c r="H2" s="42"/>
    </row>
    <row r="3" spans="1:13" ht="14.25" customHeight="1"/>
    <row r="4" spans="1:13" ht="14.25" customHeight="1">
      <c r="B4" s="1" t="s">
        <v>1</v>
      </c>
      <c r="C4" s="26" t="s">
        <v>2</v>
      </c>
      <c r="D4" s="27"/>
      <c r="E4" s="27"/>
      <c r="F4" s="27"/>
      <c r="G4" s="27"/>
      <c r="H4" s="28"/>
      <c r="L4" s="10" t="s">
        <v>95</v>
      </c>
    </row>
    <row r="5" spans="1:13" ht="14.25" customHeight="1">
      <c r="B5" s="1" t="s">
        <v>3</v>
      </c>
      <c r="C5" s="26" t="s">
        <v>4</v>
      </c>
      <c r="D5" s="27"/>
      <c r="E5" s="27"/>
      <c r="F5" s="27"/>
      <c r="G5" s="27"/>
      <c r="H5" s="28"/>
      <c r="L5" s="10" t="s">
        <v>96</v>
      </c>
      <c r="M5" s="10" t="s">
        <v>19</v>
      </c>
    </row>
    <row r="6" spans="1:13" ht="14.25" customHeight="1">
      <c r="B6" s="1" t="s">
        <v>5</v>
      </c>
      <c r="C6" s="26" t="s">
        <v>6</v>
      </c>
      <c r="D6" s="27"/>
      <c r="E6" s="27"/>
      <c r="F6" s="27"/>
      <c r="G6" s="27"/>
      <c r="H6" s="28"/>
      <c r="L6" s="10" t="s">
        <v>97</v>
      </c>
      <c r="M6" s="10">
        <v>90</v>
      </c>
    </row>
    <row r="7" spans="1:13" ht="14.25" customHeight="1">
      <c r="B7" s="1" t="s">
        <v>7</v>
      </c>
      <c r="C7" s="26" t="s">
        <v>8</v>
      </c>
      <c r="D7" s="27"/>
      <c r="E7" s="27"/>
      <c r="F7" s="27"/>
      <c r="G7" s="27"/>
      <c r="H7" s="28"/>
      <c r="L7" s="10" t="s">
        <v>98</v>
      </c>
      <c r="M7" s="10">
        <v>83</v>
      </c>
    </row>
    <row r="8" spans="1:13" ht="14.25" customHeight="1">
      <c r="B8" s="1" t="s">
        <v>9</v>
      </c>
      <c r="C8" s="26" t="s">
        <v>10</v>
      </c>
      <c r="D8" s="27"/>
      <c r="E8" s="27"/>
      <c r="F8" s="27"/>
      <c r="G8" s="27"/>
      <c r="H8" s="28"/>
      <c r="L8" s="10" t="s">
        <v>99</v>
      </c>
      <c r="M8" s="10">
        <v>78</v>
      </c>
    </row>
    <row r="9" spans="1:13" ht="14.25" customHeight="1">
      <c r="B9" s="1" t="s">
        <v>11</v>
      </c>
      <c r="C9" s="26" t="s">
        <v>12</v>
      </c>
      <c r="D9" s="27"/>
      <c r="E9" s="27"/>
      <c r="F9" s="27"/>
      <c r="G9" s="27"/>
      <c r="H9" s="28"/>
      <c r="L9" s="10" t="s">
        <v>100</v>
      </c>
      <c r="M9" s="10">
        <v>75</v>
      </c>
    </row>
    <row r="10" spans="1:13" ht="14.25" customHeight="1">
      <c r="B10" s="1" t="s">
        <v>13</v>
      </c>
      <c r="C10" s="26" t="s">
        <v>14</v>
      </c>
      <c r="D10" s="27"/>
      <c r="E10" s="27"/>
      <c r="F10" s="27"/>
      <c r="G10" s="27"/>
      <c r="H10" s="28"/>
    </row>
    <row r="11" spans="1:13" ht="15.75" customHeight="1">
      <c r="B11" s="29" t="s">
        <v>15</v>
      </c>
      <c r="C11" s="30"/>
      <c r="D11" s="29"/>
      <c r="E11" s="30"/>
      <c r="F11" s="30"/>
      <c r="G11" s="30"/>
      <c r="H11" s="30"/>
    </row>
    <row r="12" spans="1:13" ht="14.25" customHeight="1">
      <c r="A12" s="31" t="s">
        <v>16</v>
      </c>
      <c r="B12" s="34" t="s">
        <v>17</v>
      </c>
      <c r="C12" s="37" t="s">
        <v>18</v>
      </c>
      <c r="D12" s="38" t="s">
        <v>19</v>
      </c>
      <c r="E12" s="39"/>
      <c r="F12" s="39"/>
      <c r="G12" s="39"/>
      <c r="H12" s="40"/>
      <c r="L12" s="2" t="s">
        <v>101</v>
      </c>
    </row>
    <row r="13" spans="1:13" ht="14.25" customHeight="1">
      <c r="A13" s="32"/>
      <c r="B13" s="35"/>
      <c r="C13" s="35"/>
      <c r="D13" s="3" t="s">
        <v>20</v>
      </c>
      <c r="E13" s="4" t="s">
        <v>21</v>
      </c>
      <c r="F13" s="3" t="s">
        <v>22</v>
      </c>
      <c r="G13" s="4" t="s">
        <v>23</v>
      </c>
      <c r="H13" s="5" t="s">
        <v>24</v>
      </c>
      <c r="L13" s="6" t="s">
        <v>102</v>
      </c>
    </row>
    <row r="14" spans="1:13" ht="15.75" customHeight="1">
      <c r="A14" s="33"/>
      <c r="B14" s="36"/>
      <c r="C14" s="36"/>
      <c r="D14" s="7">
        <v>0</v>
      </c>
      <c r="E14" s="8">
        <v>0</v>
      </c>
      <c r="F14" s="7">
        <v>1</v>
      </c>
      <c r="G14" s="8">
        <v>1</v>
      </c>
      <c r="H14" s="9">
        <v>0</v>
      </c>
      <c r="L14" s="6"/>
    </row>
    <row r="15" spans="1:13" ht="14.25" customHeight="1">
      <c r="A15" s="10">
        <v>1</v>
      </c>
      <c r="B15" s="10" t="s">
        <v>25</v>
      </c>
      <c r="C15" s="10" t="s">
        <v>26</v>
      </c>
      <c r="L15" s="14">
        <v>90</v>
      </c>
    </row>
    <row r="16" spans="1:13" ht="14.25" customHeight="1">
      <c r="A16" s="10">
        <v>2</v>
      </c>
      <c r="B16" s="10" t="s">
        <v>27</v>
      </c>
      <c r="C16" s="10" t="s">
        <v>28</v>
      </c>
      <c r="L16" s="15">
        <v>90</v>
      </c>
    </row>
    <row r="17" spans="1:12" ht="14.25" customHeight="1">
      <c r="A17" s="10">
        <v>3</v>
      </c>
      <c r="B17" s="10" t="s">
        <v>29</v>
      </c>
      <c r="C17" s="10" t="s">
        <v>30</v>
      </c>
      <c r="L17" s="16" t="s">
        <v>103</v>
      </c>
    </row>
    <row r="18" spans="1:12" ht="14.25" customHeight="1">
      <c r="A18" s="10">
        <v>4</v>
      </c>
      <c r="B18" s="10" t="s">
        <v>31</v>
      </c>
      <c r="C18" s="10" t="s">
        <v>32</v>
      </c>
      <c r="L18" s="15">
        <v>83</v>
      </c>
    </row>
    <row r="19" spans="1:12" ht="14.25" customHeight="1">
      <c r="A19" s="10">
        <v>5</v>
      </c>
      <c r="B19" s="10" t="s">
        <v>33</v>
      </c>
      <c r="C19" s="10" t="s">
        <v>34</v>
      </c>
      <c r="L19" s="15">
        <v>83</v>
      </c>
    </row>
    <row r="20" spans="1:12" ht="14.25" customHeight="1">
      <c r="A20" s="10">
        <v>6</v>
      </c>
      <c r="B20" s="10" t="s">
        <v>35</v>
      </c>
      <c r="C20" s="10" t="s">
        <v>36</v>
      </c>
      <c r="L20" s="15">
        <v>90</v>
      </c>
    </row>
    <row r="21" spans="1:12" ht="14.25" customHeight="1">
      <c r="A21" s="10">
        <v>7</v>
      </c>
      <c r="B21" s="10" t="s">
        <v>37</v>
      </c>
      <c r="C21" s="10" t="s">
        <v>38</v>
      </c>
      <c r="L21" s="16" t="s">
        <v>103</v>
      </c>
    </row>
    <row r="22" spans="1:12" ht="14.25" customHeight="1">
      <c r="A22" s="10">
        <v>8</v>
      </c>
      <c r="B22" s="10" t="s">
        <v>39</v>
      </c>
      <c r="C22" s="10" t="s">
        <v>40</v>
      </c>
      <c r="L22" s="15">
        <v>83</v>
      </c>
    </row>
    <row r="23" spans="1:12" ht="14.25" customHeight="1">
      <c r="A23" s="10">
        <v>9</v>
      </c>
      <c r="B23" s="10" t="s">
        <v>41</v>
      </c>
      <c r="C23" s="10" t="s">
        <v>42</v>
      </c>
      <c r="L23" s="15">
        <v>83</v>
      </c>
    </row>
    <row r="24" spans="1:12" ht="14.25" customHeight="1">
      <c r="A24" s="10">
        <v>10</v>
      </c>
      <c r="B24" s="10" t="s">
        <v>43</v>
      </c>
      <c r="C24" s="10" t="s">
        <v>44</v>
      </c>
      <c r="L24" s="15">
        <v>90</v>
      </c>
    </row>
    <row r="25" spans="1:12" ht="14.25" customHeight="1">
      <c r="A25" s="10">
        <v>11</v>
      </c>
      <c r="B25" s="10" t="s">
        <v>45</v>
      </c>
      <c r="C25" s="10" t="s">
        <v>46</v>
      </c>
      <c r="L25" s="15">
        <v>90</v>
      </c>
    </row>
    <row r="26" spans="1:12" ht="14.25" customHeight="1">
      <c r="A26" s="10">
        <v>12</v>
      </c>
      <c r="B26" s="10" t="s">
        <v>47</v>
      </c>
      <c r="C26" s="10" t="s">
        <v>48</v>
      </c>
      <c r="L26" s="15">
        <v>75</v>
      </c>
    </row>
    <row r="27" spans="1:12" ht="14.25" customHeight="1">
      <c r="A27" s="10">
        <v>13</v>
      </c>
      <c r="B27" s="10" t="s">
        <v>49</v>
      </c>
      <c r="C27" s="10" t="s">
        <v>50</v>
      </c>
      <c r="L27" s="15">
        <v>90</v>
      </c>
    </row>
    <row r="28" spans="1:12" ht="14.25" customHeight="1">
      <c r="A28" s="10">
        <v>14</v>
      </c>
      <c r="B28" s="10" t="s">
        <v>51</v>
      </c>
      <c r="C28" s="10" t="s">
        <v>52</v>
      </c>
      <c r="L28" s="15">
        <v>90</v>
      </c>
    </row>
    <row r="29" spans="1:12" ht="14.25" customHeight="1">
      <c r="A29" s="10">
        <v>15</v>
      </c>
      <c r="B29" s="10" t="s">
        <v>53</v>
      </c>
      <c r="C29" s="10" t="s">
        <v>54</v>
      </c>
      <c r="L29" s="15">
        <v>90</v>
      </c>
    </row>
    <row r="30" spans="1:12" ht="14.25" customHeight="1">
      <c r="A30" s="10">
        <v>16</v>
      </c>
      <c r="B30" s="10" t="s">
        <v>55</v>
      </c>
      <c r="C30" s="10" t="s">
        <v>56</v>
      </c>
      <c r="L30" s="15">
        <v>83</v>
      </c>
    </row>
    <row r="31" spans="1:12" ht="14.25" customHeight="1">
      <c r="A31" s="10">
        <v>17</v>
      </c>
      <c r="B31" s="10" t="s">
        <v>57</v>
      </c>
      <c r="C31" s="10" t="s">
        <v>58</v>
      </c>
      <c r="L31" s="15">
        <v>90</v>
      </c>
    </row>
    <row r="32" spans="1:12" ht="14.25" customHeight="1">
      <c r="A32" s="10">
        <v>18</v>
      </c>
      <c r="B32" s="10" t="s">
        <v>59</v>
      </c>
      <c r="C32" s="10" t="s">
        <v>60</v>
      </c>
      <c r="L32" s="15">
        <v>83</v>
      </c>
    </row>
    <row r="33" spans="1:12" ht="14.25" customHeight="1">
      <c r="A33" s="10">
        <v>19</v>
      </c>
      <c r="B33" s="10" t="s">
        <v>61</v>
      </c>
      <c r="C33" s="10" t="s">
        <v>62</v>
      </c>
      <c r="L33" s="15">
        <v>78</v>
      </c>
    </row>
    <row r="34" spans="1:12" ht="14.25" customHeight="1">
      <c r="A34" s="10">
        <v>20</v>
      </c>
      <c r="B34" s="10" t="s">
        <v>63</v>
      </c>
      <c r="C34" s="10" t="s">
        <v>64</v>
      </c>
      <c r="L34" s="15">
        <v>83</v>
      </c>
    </row>
    <row r="35" spans="1:12" ht="14.25" customHeight="1">
      <c r="A35" s="10">
        <v>21</v>
      </c>
      <c r="B35" s="10" t="s">
        <v>65</v>
      </c>
      <c r="C35" s="10" t="s">
        <v>66</v>
      </c>
      <c r="L35" s="15">
        <v>90</v>
      </c>
    </row>
    <row r="36" spans="1:12" ht="14.25" customHeight="1">
      <c r="A36" s="10">
        <v>22</v>
      </c>
      <c r="B36" s="10" t="s">
        <v>67</v>
      </c>
      <c r="C36" s="10" t="s">
        <v>68</v>
      </c>
      <c r="L36" s="15">
        <v>90</v>
      </c>
    </row>
    <row r="37" spans="1:12" ht="14.25" customHeight="1">
      <c r="A37" s="10">
        <v>23</v>
      </c>
      <c r="B37" s="10" t="s">
        <v>69</v>
      </c>
      <c r="C37" s="10" t="s">
        <v>70</v>
      </c>
      <c r="L37" s="15">
        <v>78</v>
      </c>
    </row>
    <row r="38" spans="1:12" ht="14.25" customHeight="1">
      <c r="A38" s="10">
        <v>24</v>
      </c>
      <c r="B38" s="10" t="s">
        <v>71</v>
      </c>
      <c r="C38" s="10" t="s">
        <v>72</v>
      </c>
      <c r="L38" s="15">
        <v>78</v>
      </c>
    </row>
    <row r="39" spans="1:12" ht="14.25" customHeight="1">
      <c r="A39" s="10">
        <v>25</v>
      </c>
      <c r="B39" s="10" t="s">
        <v>73</v>
      </c>
      <c r="C39" s="10" t="s">
        <v>74</v>
      </c>
      <c r="L39" s="15">
        <v>78</v>
      </c>
    </row>
    <row r="40" spans="1:12" ht="14.25" customHeight="1">
      <c r="A40" s="10">
        <v>26</v>
      </c>
      <c r="B40" s="10" t="s">
        <v>75</v>
      </c>
      <c r="C40" s="10" t="s">
        <v>76</v>
      </c>
      <c r="L40" s="15">
        <v>78</v>
      </c>
    </row>
    <row r="41" spans="1:12" ht="14.25" customHeight="1">
      <c r="A41" s="10">
        <v>27</v>
      </c>
      <c r="B41" s="10" t="s">
        <v>77</v>
      </c>
      <c r="C41" s="10" t="s">
        <v>78</v>
      </c>
      <c r="L41" s="15">
        <v>90</v>
      </c>
    </row>
    <row r="42" spans="1:12" ht="14.25" customHeight="1">
      <c r="A42" s="10">
        <v>28</v>
      </c>
      <c r="B42" s="10" t="s">
        <v>79</v>
      </c>
      <c r="C42" s="10" t="s">
        <v>80</v>
      </c>
      <c r="L42" s="15">
        <v>78</v>
      </c>
    </row>
    <row r="43" spans="1:12" ht="14.25" customHeight="1">
      <c r="A43" s="10">
        <v>29</v>
      </c>
      <c r="B43" s="10" t="s">
        <v>81</v>
      </c>
      <c r="C43" s="10" t="s">
        <v>82</v>
      </c>
      <c r="L43" s="15">
        <v>75</v>
      </c>
    </row>
    <row r="44" spans="1:12" ht="14.25" customHeight="1">
      <c r="A44" s="10">
        <v>30</v>
      </c>
      <c r="B44" s="10" t="s">
        <v>83</v>
      </c>
      <c r="C44" s="10" t="s">
        <v>84</v>
      </c>
      <c r="L44" s="16" t="s">
        <v>103</v>
      </c>
    </row>
    <row r="45" spans="1:12" ht="14.25" customHeight="1">
      <c r="A45" s="10">
        <v>31</v>
      </c>
      <c r="B45" s="10" t="s">
        <v>85</v>
      </c>
      <c r="C45" s="10" t="s">
        <v>86</v>
      </c>
      <c r="L45" s="15">
        <v>90</v>
      </c>
    </row>
    <row r="46" spans="1:12" ht="14.25" customHeight="1">
      <c r="A46" s="10">
        <v>32</v>
      </c>
      <c r="B46" s="10" t="s">
        <v>87</v>
      </c>
      <c r="C46" s="10" t="s">
        <v>88</v>
      </c>
      <c r="L46" s="15">
        <v>75</v>
      </c>
    </row>
    <row r="47" spans="1:12" ht="14.25" customHeight="1">
      <c r="A47" s="10">
        <v>33</v>
      </c>
      <c r="B47" s="10" t="s">
        <v>89</v>
      </c>
      <c r="C47" s="10" t="s">
        <v>90</v>
      </c>
      <c r="L47" s="16" t="s">
        <v>103</v>
      </c>
    </row>
    <row r="48" spans="1:12" ht="14.25" customHeight="1">
      <c r="A48" s="10">
        <v>34</v>
      </c>
      <c r="B48" s="10" t="s">
        <v>91</v>
      </c>
      <c r="C48" s="10" t="s">
        <v>92</v>
      </c>
      <c r="L48" s="15">
        <v>75</v>
      </c>
    </row>
    <row r="49" spans="1:12" ht="14.25" customHeight="1">
      <c r="A49" s="10">
        <v>35</v>
      </c>
      <c r="B49" s="10" t="s">
        <v>93</v>
      </c>
      <c r="C49" s="10" t="s">
        <v>94</v>
      </c>
      <c r="L49" s="15">
        <v>75</v>
      </c>
    </row>
    <row r="50" spans="1:12" ht="14.25" customHeight="1"/>
    <row r="51" spans="1:12" ht="14.25" customHeight="1"/>
    <row r="52" spans="1:12" ht="14.25" customHeight="1"/>
    <row r="53" spans="1:12" ht="14.25" customHeight="1"/>
    <row r="54" spans="1:12" ht="14.25" customHeight="1"/>
    <row r="55" spans="1:12" ht="14.25" customHeight="1"/>
    <row r="56" spans="1:12" ht="14.25" customHeight="1"/>
    <row r="57" spans="1:12" ht="14.25" customHeight="1"/>
    <row r="58" spans="1:12" ht="14.25" customHeight="1"/>
    <row r="59" spans="1:12" ht="14.25" customHeight="1"/>
    <row r="60" spans="1:12" ht="14.25" customHeight="1"/>
    <row r="61" spans="1:12" ht="14.25" customHeight="1"/>
    <row r="62" spans="1:12" ht="14.25" customHeight="1"/>
    <row r="63" spans="1:12" ht="14.25" customHeight="1"/>
    <row r="64" spans="1:12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C8:H8"/>
    <mergeCell ref="C9:H9"/>
    <mergeCell ref="A2:H2"/>
    <mergeCell ref="C4:H4"/>
    <mergeCell ref="C5:H5"/>
    <mergeCell ref="C6:H6"/>
    <mergeCell ref="C7:H7"/>
    <mergeCell ref="C10:H10"/>
    <mergeCell ref="B11:C11"/>
    <mergeCell ref="D11:H11"/>
    <mergeCell ref="A12:A14"/>
    <mergeCell ref="B12:B14"/>
    <mergeCell ref="C12:C14"/>
    <mergeCell ref="D12:H12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showGridLines="0" workbookViewId="0"/>
  </sheetViews>
  <sheetFormatPr defaultColWidth="14.3984375" defaultRowHeight="15" customHeight="1"/>
  <cols>
    <col min="1" max="1" width="3.53125" customWidth="1"/>
    <col min="2" max="2" width="17.3984375" customWidth="1"/>
    <col min="3" max="3" width="32.73046875" customWidth="1"/>
    <col min="4" max="8" width="9.86328125" customWidth="1"/>
    <col min="9" max="26" width="8.73046875" customWidth="1"/>
  </cols>
  <sheetData>
    <row r="1" spans="1:13" ht="14.25" customHeight="1"/>
    <row r="2" spans="1:13" ht="14.25" customHeight="1">
      <c r="A2" s="41" t="s">
        <v>0</v>
      </c>
      <c r="B2" s="42"/>
      <c r="C2" s="42"/>
      <c r="D2" s="42"/>
      <c r="E2" s="42"/>
      <c r="F2" s="42"/>
      <c r="G2" s="42"/>
      <c r="H2" s="42"/>
    </row>
    <row r="3" spans="1:13" ht="14.25" customHeight="1"/>
    <row r="4" spans="1:13" ht="14.25" customHeight="1">
      <c r="B4" s="1" t="s">
        <v>1</v>
      </c>
      <c r="C4" s="26" t="s">
        <v>2</v>
      </c>
      <c r="D4" s="27"/>
      <c r="E4" s="27"/>
      <c r="F4" s="27"/>
      <c r="G4" s="27"/>
      <c r="H4" s="28"/>
    </row>
    <row r="5" spans="1:13" ht="14.25" customHeight="1">
      <c r="B5" s="1" t="s">
        <v>3</v>
      </c>
      <c r="C5" s="26" t="s">
        <v>4</v>
      </c>
      <c r="D5" s="27"/>
      <c r="E5" s="27"/>
      <c r="F5" s="27"/>
      <c r="G5" s="27"/>
      <c r="H5" s="28"/>
    </row>
    <row r="6" spans="1:13" ht="14.25" customHeight="1">
      <c r="B6" s="1" t="s">
        <v>5</v>
      </c>
      <c r="C6" s="26" t="s">
        <v>6</v>
      </c>
      <c r="D6" s="27"/>
      <c r="E6" s="27"/>
      <c r="F6" s="27"/>
      <c r="G6" s="27"/>
      <c r="H6" s="28"/>
    </row>
    <row r="7" spans="1:13" ht="14.25" customHeight="1">
      <c r="B7" s="1" t="s">
        <v>7</v>
      </c>
      <c r="C7" s="26" t="s">
        <v>8</v>
      </c>
      <c r="D7" s="27"/>
      <c r="E7" s="27"/>
      <c r="F7" s="27"/>
      <c r="G7" s="27"/>
      <c r="H7" s="28"/>
    </row>
    <row r="8" spans="1:13" ht="14.25" customHeight="1">
      <c r="B8" s="1" t="s">
        <v>9</v>
      </c>
      <c r="C8" s="26" t="s">
        <v>10</v>
      </c>
      <c r="D8" s="27"/>
      <c r="E8" s="27"/>
      <c r="F8" s="27"/>
      <c r="G8" s="27"/>
      <c r="H8" s="28"/>
    </row>
    <row r="9" spans="1:13" ht="14.25" customHeight="1">
      <c r="B9" s="1" t="s">
        <v>11</v>
      </c>
      <c r="C9" s="26" t="s">
        <v>12</v>
      </c>
      <c r="D9" s="27"/>
      <c r="E9" s="27"/>
      <c r="F9" s="27"/>
      <c r="G9" s="27"/>
      <c r="H9" s="28"/>
    </row>
    <row r="10" spans="1:13" ht="14.25" customHeight="1">
      <c r="B10" s="1" t="s">
        <v>13</v>
      </c>
      <c r="C10" s="26" t="s">
        <v>14</v>
      </c>
      <c r="D10" s="27"/>
      <c r="E10" s="27"/>
      <c r="F10" s="27"/>
      <c r="G10" s="27"/>
      <c r="H10" s="28"/>
    </row>
    <row r="11" spans="1:13" ht="15.75" customHeight="1">
      <c r="B11" s="29" t="s">
        <v>15</v>
      </c>
      <c r="C11" s="30"/>
      <c r="D11" s="29"/>
      <c r="E11" s="30"/>
      <c r="F11" s="30"/>
      <c r="G11" s="30"/>
      <c r="H11" s="30"/>
    </row>
    <row r="12" spans="1:13" ht="14.25" customHeight="1">
      <c r="A12" s="31" t="s">
        <v>16</v>
      </c>
      <c r="B12" s="34" t="s">
        <v>17</v>
      </c>
      <c r="C12" s="37" t="s">
        <v>18</v>
      </c>
      <c r="D12" s="38" t="s">
        <v>19</v>
      </c>
      <c r="E12" s="39"/>
      <c r="F12" s="39"/>
      <c r="G12" s="39"/>
      <c r="H12" s="40"/>
      <c r="L12" s="2"/>
      <c r="M12" s="2"/>
    </row>
    <row r="13" spans="1:13" ht="14.25" customHeight="1">
      <c r="A13" s="32"/>
      <c r="B13" s="35"/>
      <c r="C13" s="35"/>
      <c r="D13" s="3" t="s">
        <v>20</v>
      </c>
      <c r="E13" s="4" t="s">
        <v>21</v>
      </c>
      <c r="F13" s="3" t="s">
        <v>22</v>
      </c>
      <c r="G13" s="4" t="s">
        <v>23</v>
      </c>
      <c r="H13" s="5" t="s">
        <v>24</v>
      </c>
      <c r="L13" s="6" t="s">
        <v>104</v>
      </c>
      <c r="M13" s="6" t="s">
        <v>105</v>
      </c>
    </row>
    <row r="14" spans="1:13" ht="15.75" customHeight="1">
      <c r="A14" s="33"/>
      <c r="B14" s="36"/>
      <c r="C14" s="36"/>
      <c r="D14" s="7">
        <v>0</v>
      </c>
      <c r="E14" s="8">
        <v>0</v>
      </c>
      <c r="F14" s="7">
        <v>1</v>
      </c>
      <c r="G14" s="8">
        <v>1</v>
      </c>
      <c r="H14" s="9">
        <v>0</v>
      </c>
      <c r="L14" s="6"/>
      <c r="M14" s="6"/>
    </row>
    <row r="15" spans="1:13" ht="14.25" customHeight="1">
      <c r="A15" s="10">
        <v>1</v>
      </c>
      <c r="B15" s="10" t="s">
        <v>25</v>
      </c>
      <c r="C15" s="10" t="s">
        <v>26</v>
      </c>
      <c r="L15" s="2">
        <v>14</v>
      </c>
      <c r="M15" s="17">
        <f t="shared" ref="M15:M49" si="0">(L15/16)*100</f>
        <v>87.5</v>
      </c>
    </row>
    <row r="16" spans="1:13" ht="14.25" customHeight="1">
      <c r="A16" s="10">
        <v>1</v>
      </c>
      <c r="B16" s="10" t="s">
        <v>27</v>
      </c>
      <c r="C16" s="10" t="s">
        <v>28</v>
      </c>
      <c r="L16" s="2">
        <v>10</v>
      </c>
      <c r="M16" s="17">
        <f t="shared" si="0"/>
        <v>62.5</v>
      </c>
    </row>
    <row r="17" spans="1:13" ht="14.25" customHeight="1">
      <c r="A17" s="10">
        <v>1</v>
      </c>
      <c r="B17" s="10" t="s">
        <v>29</v>
      </c>
      <c r="C17" s="10" t="s">
        <v>30</v>
      </c>
      <c r="L17" s="2"/>
      <c r="M17" s="17">
        <f t="shared" si="0"/>
        <v>0</v>
      </c>
    </row>
    <row r="18" spans="1:13" ht="14.25" customHeight="1">
      <c r="A18" s="10">
        <v>1</v>
      </c>
      <c r="B18" s="10" t="s">
        <v>31</v>
      </c>
      <c r="C18" s="10" t="s">
        <v>32</v>
      </c>
      <c r="L18" s="2">
        <v>11</v>
      </c>
      <c r="M18" s="17">
        <f t="shared" si="0"/>
        <v>68.75</v>
      </c>
    </row>
    <row r="19" spans="1:13" ht="14.25" customHeight="1">
      <c r="A19" s="10">
        <v>5</v>
      </c>
      <c r="B19" s="10" t="s">
        <v>33</v>
      </c>
      <c r="C19" s="10" t="s">
        <v>34</v>
      </c>
      <c r="L19" s="2"/>
      <c r="M19" s="17">
        <f t="shared" si="0"/>
        <v>0</v>
      </c>
    </row>
    <row r="20" spans="1:13" ht="14.25" customHeight="1">
      <c r="A20" s="10">
        <v>6</v>
      </c>
      <c r="B20" s="10" t="s">
        <v>35</v>
      </c>
      <c r="C20" s="10" t="s">
        <v>36</v>
      </c>
      <c r="L20" s="2">
        <v>9</v>
      </c>
      <c r="M20" s="17">
        <f t="shared" si="0"/>
        <v>56.25</v>
      </c>
    </row>
    <row r="21" spans="1:13" ht="14.25" customHeight="1">
      <c r="A21" s="10">
        <v>7</v>
      </c>
      <c r="B21" s="10" t="s">
        <v>37</v>
      </c>
      <c r="C21" s="10" t="s">
        <v>38</v>
      </c>
      <c r="L21" s="2"/>
      <c r="M21" s="17">
        <f t="shared" si="0"/>
        <v>0</v>
      </c>
    </row>
    <row r="22" spans="1:13" ht="14.25" customHeight="1">
      <c r="A22" s="10">
        <v>8</v>
      </c>
      <c r="B22" s="10" t="s">
        <v>39</v>
      </c>
      <c r="C22" s="10" t="s">
        <v>40</v>
      </c>
      <c r="L22" s="2"/>
      <c r="M22" s="17">
        <f t="shared" si="0"/>
        <v>0</v>
      </c>
    </row>
    <row r="23" spans="1:13" ht="14.25" customHeight="1">
      <c r="A23" s="10">
        <v>9</v>
      </c>
      <c r="B23" s="10" t="s">
        <v>41</v>
      </c>
      <c r="C23" s="10" t="s">
        <v>42</v>
      </c>
      <c r="L23" s="2"/>
      <c r="M23" s="17">
        <f t="shared" si="0"/>
        <v>0</v>
      </c>
    </row>
    <row r="24" spans="1:13" ht="14.25" customHeight="1">
      <c r="A24" s="10">
        <v>10</v>
      </c>
      <c r="B24" s="10" t="s">
        <v>43</v>
      </c>
      <c r="C24" s="10" t="s">
        <v>44</v>
      </c>
      <c r="L24" s="2"/>
      <c r="M24" s="17">
        <f t="shared" si="0"/>
        <v>0</v>
      </c>
    </row>
    <row r="25" spans="1:13" ht="14.25" customHeight="1">
      <c r="A25" s="10">
        <v>11</v>
      </c>
      <c r="B25" s="10" t="s">
        <v>45</v>
      </c>
      <c r="C25" s="10" t="s">
        <v>46</v>
      </c>
      <c r="L25" s="2">
        <v>13</v>
      </c>
      <c r="M25" s="17">
        <f t="shared" si="0"/>
        <v>81.25</v>
      </c>
    </row>
    <row r="26" spans="1:13" ht="14.25" customHeight="1">
      <c r="A26" s="10">
        <v>12</v>
      </c>
      <c r="B26" s="10" t="s">
        <v>47</v>
      </c>
      <c r="C26" s="10" t="s">
        <v>48</v>
      </c>
      <c r="L26" s="2">
        <v>8</v>
      </c>
      <c r="M26" s="17">
        <f t="shared" si="0"/>
        <v>50</v>
      </c>
    </row>
    <row r="27" spans="1:13" ht="14.25" customHeight="1">
      <c r="A27" s="10">
        <v>13</v>
      </c>
      <c r="B27" s="10" t="s">
        <v>49</v>
      </c>
      <c r="C27" s="10" t="s">
        <v>50</v>
      </c>
      <c r="L27" s="2">
        <v>12</v>
      </c>
      <c r="M27" s="17">
        <f t="shared" si="0"/>
        <v>75</v>
      </c>
    </row>
    <row r="28" spans="1:13" ht="14.25" customHeight="1">
      <c r="A28" s="10">
        <v>14</v>
      </c>
      <c r="B28" s="10" t="s">
        <v>51</v>
      </c>
      <c r="C28" s="10" t="s">
        <v>52</v>
      </c>
      <c r="L28" s="2">
        <v>9</v>
      </c>
      <c r="M28" s="17">
        <f t="shared" si="0"/>
        <v>56.25</v>
      </c>
    </row>
    <row r="29" spans="1:13" ht="14.25" customHeight="1">
      <c r="A29" s="10">
        <v>15</v>
      </c>
      <c r="B29" s="10" t="s">
        <v>53</v>
      </c>
      <c r="C29" s="10" t="s">
        <v>54</v>
      </c>
      <c r="L29" s="2">
        <v>12</v>
      </c>
      <c r="M29" s="17">
        <f t="shared" si="0"/>
        <v>75</v>
      </c>
    </row>
    <row r="30" spans="1:13" ht="14.25" customHeight="1">
      <c r="A30" s="10">
        <v>16</v>
      </c>
      <c r="B30" s="10" t="s">
        <v>55</v>
      </c>
      <c r="C30" s="10" t="s">
        <v>56</v>
      </c>
      <c r="L30" s="2">
        <v>9</v>
      </c>
      <c r="M30" s="17">
        <f t="shared" si="0"/>
        <v>56.25</v>
      </c>
    </row>
    <row r="31" spans="1:13" ht="14.25" customHeight="1">
      <c r="A31" s="10">
        <v>17</v>
      </c>
      <c r="B31" s="10" t="s">
        <v>57</v>
      </c>
      <c r="C31" s="10" t="s">
        <v>58</v>
      </c>
      <c r="L31" s="2">
        <v>11</v>
      </c>
      <c r="M31" s="17">
        <f t="shared" si="0"/>
        <v>68.75</v>
      </c>
    </row>
    <row r="32" spans="1:13" ht="14.25" customHeight="1">
      <c r="A32" s="10">
        <v>18</v>
      </c>
      <c r="B32" s="10" t="s">
        <v>59</v>
      </c>
      <c r="C32" s="10" t="s">
        <v>60</v>
      </c>
      <c r="L32" s="2">
        <v>9</v>
      </c>
      <c r="M32" s="17">
        <f t="shared" si="0"/>
        <v>56.25</v>
      </c>
    </row>
    <row r="33" spans="1:13" ht="14.25" customHeight="1">
      <c r="A33" s="10">
        <v>19</v>
      </c>
      <c r="B33" s="10" t="s">
        <v>61</v>
      </c>
      <c r="C33" s="10" t="s">
        <v>62</v>
      </c>
      <c r="L33" s="2">
        <v>9</v>
      </c>
      <c r="M33" s="17">
        <f t="shared" si="0"/>
        <v>56.25</v>
      </c>
    </row>
    <row r="34" spans="1:13" ht="14.25" customHeight="1">
      <c r="A34" s="10">
        <v>20</v>
      </c>
      <c r="B34" s="10" t="s">
        <v>63</v>
      </c>
      <c r="C34" s="10" t="s">
        <v>64</v>
      </c>
      <c r="L34" s="2">
        <v>11</v>
      </c>
      <c r="M34" s="17">
        <f t="shared" si="0"/>
        <v>68.75</v>
      </c>
    </row>
    <row r="35" spans="1:13" ht="14.25" customHeight="1">
      <c r="A35" s="10">
        <v>21</v>
      </c>
      <c r="B35" s="10" t="s">
        <v>65</v>
      </c>
      <c r="C35" s="10" t="s">
        <v>66</v>
      </c>
      <c r="L35" s="2"/>
      <c r="M35" s="17">
        <f t="shared" si="0"/>
        <v>0</v>
      </c>
    </row>
    <row r="36" spans="1:13" ht="14.25" customHeight="1">
      <c r="A36" s="10">
        <v>22</v>
      </c>
      <c r="B36" s="10" t="s">
        <v>67</v>
      </c>
      <c r="C36" s="10" t="s">
        <v>68</v>
      </c>
      <c r="L36" s="2">
        <v>10</v>
      </c>
      <c r="M36" s="17">
        <f t="shared" si="0"/>
        <v>62.5</v>
      </c>
    </row>
    <row r="37" spans="1:13" ht="14.25" customHeight="1">
      <c r="A37" s="10">
        <v>23</v>
      </c>
      <c r="B37" s="10" t="s">
        <v>69</v>
      </c>
      <c r="C37" s="10" t="s">
        <v>70</v>
      </c>
      <c r="L37" s="2">
        <v>11</v>
      </c>
      <c r="M37" s="17">
        <f t="shared" si="0"/>
        <v>68.75</v>
      </c>
    </row>
    <row r="38" spans="1:13" ht="14.25" customHeight="1">
      <c r="A38" s="10">
        <v>24</v>
      </c>
      <c r="B38" s="10" t="s">
        <v>71</v>
      </c>
      <c r="C38" s="10" t="s">
        <v>72</v>
      </c>
      <c r="L38" s="2">
        <v>10</v>
      </c>
      <c r="M38" s="17">
        <f t="shared" si="0"/>
        <v>62.5</v>
      </c>
    </row>
    <row r="39" spans="1:13" ht="14.25" customHeight="1">
      <c r="A39" s="10">
        <v>25</v>
      </c>
      <c r="B39" s="10" t="s">
        <v>73</v>
      </c>
      <c r="C39" s="10" t="s">
        <v>74</v>
      </c>
      <c r="L39" s="2">
        <v>13</v>
      </c>
      <c r="M39" s="17">
        <f t="shared" si="0"/>
        <v>81.25</v>
      </c>
    </row>
    <row r="40" spans="1:13" ht="14.25" customHeight="1">
      <c r="A40" s="10">
        <v>26</v>
      </c>
      <c r="B40" s="10" t="s">
        <v>75</v>
      </c>
      <c r="C40" s="10" t="s">
        <v>76</v>
      </c>
      <c r="L40" s="2"/>
      <c r="M40" s="17">
        <f t="shared" si="0"/>
        <v>0</v>
      </c>
    </row>
    <row r="41" spans="1:13" ht="14.25" customHeight="1">
      <c r="A41" s="10">
        <v>27</v>
      </c>
      <c r="B41" s="10" t="s">
        <v>77</v>
      </c>
      <c r="C41" s="10" t="s">
        <v>78</v>
      </c>
      <c r="L41" s="2"/>
      <c r="M41" s="17">
        <f t="shared" si="0"/>
        <v>0</v>
      </c>
    </row>
    <row r="42" spans="1:13" ht="14.25" customHeight="1">
      <c r="A42" s="10">
        <v>28</v>
      </c>
      <c r="B42" s="10" t="s">
        <v>79</v>
      </c>
      <c r="C42" s="10" t="s">
        <v>80</v>
      </c>
      <c r="L42" s="2">
        <v>7</v>
      </c>
      <c r="M42" s="17">
        <f t="shared" si="0"/>
        <v>43.75</v>
      </c>
    </row>
    <row r="43" spans="1:13" ht="14.25" customHeight="1">
      <c r="A43" s="10">
        <v>29</v>
      </c>
      <c r="B43" s="10" t="s">
        <v>81</v>
      </c>
      <c r="C43" s="10" t="s">
        <v>82</v>
      </c>
      <c r="L43" s="2">
        <v>10</v>
      </c>
      <c r="M43" s="17">
        <f t="shared" si="0"/>
        <v>62.5</v>
      </c>
    </row>
    <row r="44" spans="1:13" ht="14.25" customHeight="1">
      <c r="A44" s="10">
        <v>30</v>
      </c>
      <c r="B44" s="10" t="s">
        <v>83</v>
      </c>
      <c r="C44" s="10" t="s">
        <v>84</v>
      </c>
      <c r="L44" s="2"/>
      <c r="M44" s="17">
        <f t="shared" si="0"/>
        <v>0</v>
      </c>
    </row>
    <row r="45" spans="1:13" ht="14.25" customHeight="1">
      <c r="A45" s="10">
        <v>31</v>
      </c>
      <c r="B45" s="10" t="s">
        <v>85</v>
      </c>
      <c r="C45" s="10" t="s">
        <v>86</v>
      </c>
      <c r="L45" s="2">
        <v>4</v>
      </c>
      <c r="M45" s="17">
        <f t="shared" si="0"/>
        <v>25</v>
      </c>
    </row>
    <row r="46" spans="1:13" ht="14.25" customHeight="1">
      <c r="A46" s="10">
        <v>32</v>
      </c>
      <c r="B46" s="10" t="s">
        <v>87</v>
      </c>
      <c r="C46" s="10" t="s">
        <v>88</v>
      </c>
      <c r="L46" s="2">
        <v>11</v>
      </c>
      <c r="M46" s="17">
        <f t="shared" si="0"/>
        <v>68.75</v>
      </c>
    </row>
    <row r="47" spans="1:13" ht="14.25" customHeight="1">
      <c r="A47" s="10">
        <v>33</v>
      </c>
      <c r="B47" s="10" t="s">
        <v>89</v>
      </c>
      <c r="C47" s="10" t="s">
        <v>90</v>
      </c>
      <c r="L47" s="2"/>
      <c r="M47" s="17">
        <f t="shared" si="0"/>
        <v>0</v>
      </c>
    </row>
    <row r="48" spans="1:13" ht="14.25" customHeight="1">
      <c r="A48" s="10">
        <v>34</v>
      </c>
      <c r="B48" s="10" t="s">
        <v>91</v>
      </c>
      <c r="C48" s="10" t="s">
        <v>92</v>
      </c>
      <c r="L48" s="2">
        <v>9</v>
      </c>
      <c r="M48" s="17">
        <f t="shared" si="0"/>
        <v>56.25</v>
      </c>
    </row>
    <row r="49" spans="1:13" ht="14.25" customHeight="1">
      <c r="A49" s="10">
        <v>35</v>
      </c>
      <c r="B49" s="10" t="s">
        <v>93</v>
      </c>
      <c r="C49" s="10" t="s">
        <v>94</v>
      </c>
      <c r="L49" s="2">
        <v>10</v>
      </c>
      <c r="M49" s="17">
        <f t="shared" si="0"/>
        <v>62.5</v>
      </c>
    </row>
    <row r="50" spans="1:13" ht="14.25" customHeight="1"/>
    <row r="51" spans="1:13" ht="14.25" customHeight="1"/>
    <row r="52" spans="1:13" ht="14.25" customHeight="1"/>
    <row r="53" spans="1:13" ht="14.25" customHeight="1"/>
    <row r="54" spans="1:13" ht="14.25" customHeight="1"/>
    <row r="55" spans="1:13" ht="14.25" customHeight="1"/>
    <row r="56" spans="1:13" ht="14.25" customHeight="1"/>
    <row r="57" spans="1:13" ht="14.25" customHeight="1"/>
    <row r="58" spans="1:13" ht="14.25" customHeight="1"/>
    <row r="59" spans="1:13" ht="14.25" customHeight="1"/>
    <row r="60" spans="1:13" ht="14.25" customHeight="1"/>
    <row r="61" spans="1:13" ht="14.25" customHeight="1"/>
    <row r="62" spans="1:13" ht="14.25" customHeight="1"/>
    <row r="63" spans="1:13" ht="14.25" customHeight="1"/>
    <row r="64" spans="1:13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C8:H8"/>
    <mergeCell ref="C9:H9"/>
    <mergeCell ref="A2:H2"/>
    <mergeCell ref="C4:H4"/>
    <mergeCell ref="C5:H5"/>
    <mergeCell ref="C6:H6"/>
    <mergeCell ref="C7:H7"/>
    <mergeCell ref="C10:H10"/>
    <mergeCell ref="B11:C11"/>
    <mergeCell ref="D11:H11"/>
    <mergeCell ref="A12:A14"/>
    <mergeCell ref="B12:B14"/>
    <mergeCell ref="C12:C14"/>
    <mergeCell ref="D12:H1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showGridLines="0" workbookViewId="0"/>
  </sheetViews>
  <sheetFormatPr defaultColWidth="14.3984375" defaultRowHeight="15" customHeight="1"/>
  <cols>
    <col min="1" max="1" width="3.53125" customWidth="1"/>
    <col min="2" max="2" width="17.3984375" customWidth="1"/>
    <col min="3" max="3" width="32.73046875" customWidth="1"/>
    <col min="4" max="9" width="9.86328125" customWidth="1"/>
    <col min="10" max="25" width="8.73046875" customWidth="1"/>
  </cols>
  <sheetData>
    <row r="1" spans="1:12" ht="14.25" customHeight="1"/>
    <row r="2" spans="1:12" ht="14.25" customHeight="1">
      <c r="A2" s="41" t="s">
        <v>0</v>
      </c>
      <c r="B2" s="42"/>
      <c r="C2" s="42"/>
      <c r="D2" s="42"/>
      <c r="E2" s="42"/>
      <c r="F2" s="42"/>
      <c r="G2" s="42"/>
      <c r="H2" s="42"/>
    </row>
    <row r="3" spans="1:12" ht="14.25" customHeight="1"/>
    <row r="4" spans="1:12" ht="14.25" customHeight="1">
      <c r="B4" s="1" t="s">
        <v>1</v>
      </c>
      <c r="C4" s="26" t="s">
        <v>2</v>
      </c>
      <c r="D4" s="27"/>
      <c r="E4" s="27"/>
      <c r="F4" s="27"/>
      <c r="G4" s="27"/>
      <c r="H4" s="28"/>
    </row>
    <row r="5" spans="1:12" ht="14.25" customHeight="1">
      <c r="B5" s="1" t="s">
        <v>3</v>
      </c>
      <c r="C5" s="26" t="s">
        <v>4</v>
      </c>
      <c r="D5" s="27"/>
      <c r="E5" s="27"/>
      <c r="F5" s="27"/>
      <c r="G5" s="27"/>
      <c r="H5" s="28"/>
    </row>
    <row r="6" spans="1:12" ht="14.25" customHeight="1">
      <c r="B6" s="1" t="s">
        <v>5</v>
      </c>
      <c r="C6" s="26" t="s">
        <v>6</v>
      </c>
      <c r="D6" s="27"/>
      <c r="E6" s="27"/>
      <c r="F6" s="27"/>
      <c r="G6" s="27"/>
      <c r="H6" s="28"/>
    </row>
    <row r="7" spans="1:12" ht="14.25" customHeight="1">
      <c r="B7" s="1" t="s">
        <v>7</v>
      </c>
      <c r="C7" s="26" t="s">
        <v>8</v>
      </c>
      <c r="D7" s="27"/>
      <c r="E7" s="27"/>
      <c r="F7" s="27"/>
      <c r="G7" s="27"/>
      <c r="H7" s="28"/>
    </row>
    <row r="8" spans="1:12" ht="14.25" customHeight="1">
      <c r="B8" s="1" t="s">
        <v>9</v>
      </c>
      <c r="C8" s="26" t="s">
        <v>10</v>
      </c>
      <c r="D8" s="27"/>
      <c r="E8" s="27"/>
      <c r="F8" s="27"/>
      <c r="G8" s="27"/>
      <c r="H8" s="28"/>
    </row>
    <row r="9" spans="1:12" ht="14.25" customHeight="1">
      <c r="B9" s="1" t="s">
        <v>11</v>
      </c>
      <c r="C9" s="26" t="s">
        <v>12</v>
      </c>
      <c r="D9" s="27"/>
      <c r="E9" s="27"/>
      <c r="F9" s="27"/>
      <c r="G9" s="27"/>
      <c r="H9" s="28"/>
    </row>
    <row r="10" spans="1:12" ht="14.25" customHeight="1">
      <c r="B10" s="1" t="s">
        <v>13</v>
      </c>
      <c r="C10" s="26" t="s">
        <v>14</v>
      </c>
      <c r="D10" s="27"/>
      <c r="E10" s="27"/>
      <c r="F10" s="27"/>
      <c r="G10" s="27"/>
      <c r="H10" s="28"/>
    </row>
    <row r="11" spans="1:12" ht="15.75" customHeight="1">
      <c r="B11" s="29" t="s">
        <v>15</v>
      </c>
      <c r="C11" s="30"/>
      <c r="D11" s="29"/>
      <c r="E11" s="30"/>
      <c r="F11" s="30"/>
      <c r="G11" s="30"/>
      <c r="H11" s="30"/>
    </row>
    <row r="12" spans="1:12" ht="14.25" customHeight="1">
      <c r="A12" s="31" t="s">
        <v>16</v>
      </c>
      <c r="B12" s="34" t="s">
        <v>17</v>
      </c>
      <c r="C12" s="37" t="s">
        <v>18</v>
      </c>
      <c r="D12" s="38" t="s">
        <v>19</v>
      </c>
      <c r="E12" s="39"/>
      <c r="F12" s="39"/>
      <c r="G12" s="39"/>
      <c r="H12" s="40"/>
      <c r="L12" s="2"/>
    </row>
    <row r="13" spans="1:12" ht="14.25" customHeight="1">
      <c r="A13" s="32"/>
      <c r="B13" s="35"/>
      <c r="C13" s="35"/>
      <c r="D13" s="3" t="s">
        <v>20</v>
      </c>
      <c r="E13" s="4" t="s">
        <v>21</v>
      </c>
      <c r="F13" s="3" t="s">
        <v>22</v>
      </c>
      <c r="G13" s="4" t="s">
        <v>23</v>
      </c>
      <c r="H13" s="5" t="s">
        <v>24</v>
      </c>
      <c r="L13" s="6" t="s">
        <v>105</v>
      </c>
    </row>
    <row r="14" spans="1:12" ht="15.75" customHeight="1">
      <c r="A14" s="33"/>
      <c r="B14" s="36"/>
      <c r="C14" s="36"/>
      <c r="D14" s="7">
        <v>0</v>
      </c>
      <c r="E14" s="8">
        <v>0</v>
      </c>
      <c r="F14" s="7">
        <v>1</v>
      </c>
      <c r="G14" s="8">
        <v>1</v>
      </c>
      <c r="H14" s="9">
        <v>0</v>
      </c>
      <c r="L14" s="6"/>
    </row>
    <row r="15" spans="1:12" ht="14.25" customHeight="1">
      <c r="A15" s="10">
        <v>1</v>
      </c>
      <c r="B15" s="10" t="s">
        <v>25</v>
      </c>
      <c r="C15" s="10" t="s">
        <v>26</v>
      </c>
      <c r="I15" s="18" t="s">
        <v>25</v>
      </c>
      <c r="J15" s="19">
        <v>86</v>
      </c>
      <c r="L15" s="2"/>
    </row>
    <row r="16" spans="1:12" ht="14.25" customHeight="1">
      <c r="A16" s="10">
        <v>2</v>
      </c>
      <c r="B16" s="10" t="s">
        <v>27</v>
      </c>
      <c r="C16" s="10" t="s">
        <v>28</v>
      </c>
      <c r="I16" s="18" t="s">
        <v>27</v>
      </c>
      <c r="J16" s="19">
        <v>85.333333333333329</v>
      </c>
      <c r="L16" s="2"/>
    </row>
    <row r="17" spans="1:12" ht="14.25" customHeight="1">
      <c r="A17" s="10">
        <v>3</v>
      </c>
      <c r="B17" s="10" t="s">
        <v>29</v>
      </c>
      <c r="C17" s="10" t="s">
        <v>30</v>
      </c>
      <c r="I17" s="18"/>
      <c r="J17" s="19"/>
      <c r="L17" s="2"/>
    </row>
    <row r="18" spans="1:12" ht="14.25" customHeight="1">
      <c r="A18" s="10">
        <v>4</v>
      </c>
      <c r="B18" s="10" t="s">
        <v>31</v>
      </c>
      <c r="C18" s="10" t="s">
        <v>32</v>
      </c>
      <c r="I18" s="18" t="s">
        <v>31</v>
      </c>
      <c r="J18" s="19">
        <v>85.333333333333329</v>
      </c>
      <c r="L18" s="2"/>
    </row>
    <row r="19" spans="1:12" ht="14.25" customHeight="1">
      <c r="A19" s="10">
        <v>5</v>
      </c>
      <c r="B19" s="10" t="s">
        <v>33</v>
      </c>
      <c r="C19" s="10" t="s">
        <v>34</v>
      </c>
      <c r="I19" s="18" t="s">
        <v>33</v>
      </c>
      <c r="J19" s="19">
        <v>87</v>
      </c>
      <c r="L19" s="2"/>
    </row>
    <row r="20" spans="1:12" ht="14.25" customHeight="1">
      <c r="A20" s="10">
        <v>6</v>
      </c>
      <c r="B20" s="10" t="s">
        <v>35</v>
      </c>
      <c r="C20" s="10" t="s">
        <v>36</v>
      </c>
      <c r="I20" s="18" t="s">
        <v>35</v>
      </c>
      <c r="J20" s="19">
        <v>84.333333333333329</v>
      </c>
      <c r="L20" s="2"/>
    </row>
    <row r="21" spans="1:12" ht="14.25" customHeight="1">
      <c r="A21" s="10">
        <v>7</v>
      </c>
      <c r="B21" s="10" t="s">
        <v>37</v>
      </c>
      <c r="C21" s="10" t="s">
        <v>38</v>
      </c>
      <c r="I21" s="18"/>
      <c r="J21" s="19"/>
      <c r="L21" s="2"/>
    </row>
    <row r="22" spans="1:12" ht="14.25" customHeight="1">
      <c r="A22" s="10">
        <v>8</v>
      </c>
      <c r="B22" s="10" t="s">
        <v>39</v>
      </c>
      <c r="C22" s="10" t="s">
        <v>40</v>
      </c>
      <c r="I22" s="18" t="s">
        <v>39</v>
      </c>
      <c r="J22" s="19">
        <v>84.666666666666671</v>
      </c>
      <c r="L22" s="2"/>
    </row>
    <row r="23" spans="1:12" ht="14.25" customHeight="1">
      <c r="A23" s="10">
        <v>9</v>
      </c>
      <c r="B23" s="10" t="s">
        <v>41</v>
      </c>
      <c r="C23" s="10" t="s">
        <v>42</v>
      </c>
      <c r="I23" s="18" t="s">
        <v>41</v>
      </c>
      <c r="J23" s="19">
        <v>79.666666666666671</v>
      </c>
      <c r="L23" s="2"/>
    </row>
    <row r="24" spans="1:12" ht="14.25" customHeight="1">
      <c r="A24" s="10">
        <v>10</v>
      </c>
      <c r="B24" s="10" t="s">
        <v>43</v>
      </c>
      <c r="C24" s="10" t="s">
        <v>44</v>
      </c>
      <c r="I24" s="18" t="s">
        <v>43</v>
      </c>
      <c r="J24" s="19">
        <v>80.666666666666671</v>
      </c>
      <c r="L24" s="2"/>
    </row>
    <row r="25" spans="1:12" ht="14.25" customHeight="1">
      <c r="A25" s="10">
        <v>11</v>
      </c>
      <c r="B25" s="10" t="s">
        <v>45</v>
      </c>
      <c r="C25" s="10" t="s">
        <v>46</v>
      </c>
      <c r="I25" s="18" t="s">
        <v>45</v>
      </c>
      <c r="J25" s="19">
        <v>83</v>
      </c>
      <c r="L25" s="2"/>
    </row>
    <row r="26" spans="1:12" ht="14.25" customHeight="1">
      <c r="A26" s="10">
        <v>12</v>
      </c>
      <c r="B26" s="10" t="s">
        <v>47</v>
      </c>
      <c r="C26" s="10" t="s">
        <v>48</v>
      </c>
      <c r="I26" s="18" t="s">
        <v>47</v>
      </c>
      <c r="J26" s="19">
        <v>78.333333333333329</v>
      </c>
      <c r="L26" s="2"/>
    </row>
    <row r="27" spans="1:12" ht="14.25" customHeight="1">
      <c r="A27" s="10">
        <v>13</v>
      </c>
      <c r="B27" s="10" t="s">
        <v>49</v>
      </c>
      <c r="C27" s="10" t="s">
        <v>50</v>
      </c>
      <c r="I27" s="18" t="s">
        <v>49</v>
      </c>
      <c r="J27" s="19">
        <v>84</v>
      </c>
      <c r="L27" s="2"/>
    </row>
    <row r="28" spans="1:12" ht="14.25" customHeight="1">
      <c r="A28" s="10">
        <v>14</v>
      </c>
      <c r="B28" s="10" t="s">
        <v>51</v>
      </c>
      <c r="C28" s="10" t="s">
        <v>52</v>
      </c>
      <c r="I28" s="18" t="s">
        <v>51</v>
      </c>
      <c r="J28" s="19">
        <v>80</v>
      </c>
      <c r="L28" s="2"/>
    </row>
    <row r="29" spans="1:12" ht="14.25" customHeight="1">
      <c r="A29" s="10">
        <v>15</v>
      </c>
      <c r="B29" s="10" t="s">
        <v>53</v>
      </c>
      <c r="C29" s="10" t="s">
        <v>54</v>
      </c>
      <c r="I29" s="18" t="s">
        <v>53</v>
      </c>
      <c r="J29" s="19">
        <v>85.333333333333329</v>
      </c>
      <c r="L29" s="2"/>
    </row>
    <row r="30" spans="1:12" ht="14.25" customHeight="1">
      <c r="A30" s="10">
        <v>16</v>
      </c>
      <c r="B30" s="10" t="s">
        <v>55</v>
      </c>
      <c r="C30" s="10" t="s">
        <v>56</v>
      </c>
      <c r="I30" s="18" t="s">
        <v>55</v>
      </c>
      <c r="J30" s="19">
        <v>82.333333333333329</v>
      </c>
      <c r="L30" s="2"/>
    </row>
    <row r="31" spans="1:12" ht="14.25" customHeight="1">
      <c r="A31" s="10">
        <v>17</v>
      </c>
      <c r="B31" s="10" t="s">
        <v>57</v>
      </c>
      <c r="C31" s="10" t="s">
        <v>58</v>
      </c>
      <c r="I31" s="18" t="s">
        <v>57</v>
      </c>
      <c r="J31" s="19">
        <v>63.666666666666664</v>
      </c>
      <c r="L31" s="2"/>
    </row>
    <row r="32" spans="1:12" ht="14.25" customHeight="1">
      <c r="A32" s="10">
        <v>18</v>
      </c>
      <c r="B32" s="10" t="s">
        <v>59</v>
      </c>
      <c r="C32" s="10" t="s">
        <v>60</v>
      </c>
      <c r="I32" s="18" t="s">
        <v>59</v>
      </c>
      <c r="J32" s="19">
        <v>77.333333333333329</v>
      </c>
      <c r="L32" s="2"/>
    </row>
    <row r="33" spans="1:12" ht="14.25" customHeight="1">
      <c r="A33" s="10">
        <v>19</v>
      </c>
      <c r="B33" s="10" t="s">
        <v>61</v>
      </c>
      <c r="C33" s="10" t="s">
        <v>62</v>
      </c>
      <c r="I33" s="18" t="s">
        <v>61</v>
      </c>
      <c r="J33" s="19">
        <v>71</v>
      </c>
      <c r="L33" s="2"/>
    </row>
    <row r="34" spans="1:12" ht="14.25" customHeight="1">
      <c r="A34" s="10">
        <v>20</v>
      </c>
      <c r="B34" s="10" t="s">
        <v>63</v>
      </c>
      <c r="C34" s="10" t="s">
        <v>64</v>
      </c>
      <c r="I34" s="18" t="s">
        <v>63</v>
      </c>
      <c r="J34" s="19">
        <v>67.333333333333329</v>
      </c>
      <c r="L34" s="2"/>
    </row>
    <row r="35" spans="1:12" ht="14.25" customHeight="1">
      <c r="A35" s="10">
        <v>21</v>
      </c>
      <c r="B35" s="10" t="s">
        <v>65</v>
      </c>
      <c r="C35" s="10" t="s">
        <v>66</v>
      </c>
      <c r="I35" s="18" t="s">
        <v>65</v>
      </c>
      <c r="J35" s="19">
        <v>72.666666666666671</v>
      </c>
      <c r="L35" s="2"/>
    </row>
    <row r="36" spans="1:12" ht="14.25" customHeight="1">
      <c r="A36" s="10">
        <v>22</v>
      </c>
      <c r="B36" s="10" t="s">
        <v>67</v>
      </c>
      <c r="C36" s="10" t="s">
        <v>68</v>
      </c>
      <c r="I36" s="18" t="s">
        <v>67</v>
      </c>
      <c r="J36" s="19">
        <v>58</v>
      </c>
      <c r="L36" s="2"/>
    </row>
    <row r="37" spans="1:12" ht="14.25" customHeight="1">
      <c r="A37" s="10">
        <v>23</v>
      </c>
      <c r="B37" s="10" t="s">
        <v>69</v>
      </c>
      <c r="C37" s="10" t="s">
        <v>70</v>
      </c>
      <c r="I37" s="18" t="s">
        <v>69</v>
      </c>
      <c r="J37" s="19">
        <v>78.333333333333329</v>
      </c>
      <c r="L37" s="2"/>
    </row>
    <row r="38" spans="1:12" ht="14.25" customHeight="1">
      <c r="A38" s="10">
        <v>24</v>
      </c>
      <c r="B38" s="10" t="s">
        <v>71</v>
      </c>
      <c r="C38" s="10" t="s">
        <v>72</v>
      </c>
      <c r="I38" s="18" t="s">
        <v>71</v>
      </c>
      <c r="J38" s="19">
        <v>69</v>
      </c>
      <c r="L38" s="2"/>
    </row>
    <row r="39" spans="1:12" ht="14.25" customHeight="1">
      <c r="A39" s="10">
        <v>25</v>
      </c>
      <c r="B39" s="10" t="s">
        <v>73</v>
      </c>
      <c r="C39" s="10" t="s">
        <v>74</v>
      </c>
      <c r="I39" s="18" t="s">
        <v>73</v>
      </c>
      <c r="J39" s="19">
        <v>75.333333333333329</v>
      </c>
      <c r="L39" s="2"/>
    </row>
    <row r="40" spans="1:12" ht="14.25" customHeight="1">
      <c r="A40" s="10">
        <v>26</v>
      </c>
      <c r="B40" s="10" t="s">
        <v>75</v>
      </c>
      <c r="C40" s="10" t="s">
        <v>76</v>
      </c>
      <c r="I40" s="18" t="s">
        <v>75</v>
      </c>
      <c r="J40" s="19">
        <v>41.333333333333336</v>
      </c>
      <c r="L40" s="2"/>
    </row>
    <row r="41" spans="1:12" ht="14.25" customHeight="1">
      <c r="A41" s="10">
        <v>27</v>
      </c>
      <c r="B41" s="10" t="s">
        <v>77</v>
      </c>
      <c r="C41" s="10" t="s">
        <v>78</v>
      </c>
      <c r="I41" s="18" t="s">
        <v>77</v>
      </c>
      <c r="J41" s="19">
        <v>83</v>
      </c>
      <c r="L41" s="2"/>
    </row>
    <row r="42" spans="1:12" ht="14.25" customHeight="1">
      <c r="A42" s="10">
        <v>28</v>
      </c>
      <c r="B42" s="10" t="s">
        <v>79</v>
      </c>
      <c r="C42" s="10" t="s">
        <v>80</v>
      </c>
      <c r="I42" s="18" t="s">
        <v>79</v>
      </c>
      <c r="J42" s="19">
        <v>85</v>
      </c>
      <c r="L42" s="2"/>
    </row>
    <row r="43" spans="1:12" ht="14.25" customHeight="1">
      <c r="A43" s="10">
        <v>29</v>
      </c>
      <c r="B43" s="10" t="s">
        <v>81</v>
      </c>
      <c r="C43" s="10" t="s">
        <v>82</v>
      </c>
      <c r="I43" s="18" t="s">
        <v>81</v>
      </c>
      <c r="J43" s="19">
        <v>82.333333333333329</v>
      </c>
      <c r="L43" s="2"/>
    </row>
    <row r="44" spans="1:12" ht="14.25" customHeight="1">
      <c r="A44" s="10">
        <v>30</v>
      </c>
      <c r="B44" s="10" t="s">
        <v>83</v>
      </c>
      <c r="C44" s="10" t="s">
        <v>84</v>
      </c>
      <c r="I44" s="18"/>
      <c r="J44" s="19"/>
      <c r="L44" s="2"/>
    </row>
    <row r="45" spans="1:12" ht="14.25" customHeight="1">
      <c r="A45" s="10">
        <v>31</v>
      </c>
      <c r="B45" s="10" t="s">
        <v>85</v>
      </c>
      <c r="C45" s="10" t="s">
        <v>86</v>
      </c>
      <c r="I45" s="18" t="s">
        <v>85</v>
      </c>
      <c r="J45" s="19">
        <v>82.333333333333329</v>
      </c>
      <c r="L45" s="2"/>
    </row>
    <row r="46" spans="1:12" ht="14.25" customHeight="1">
      <c r="A46" s="10">
        <v>32</v>
      </c>
      <c r="B46" s="10" t="s">
        <v>87</v>
      </c>
      <c r="C46" s="10" t="s">
        <v>88</v>
      </c>
      <c r="I46" s="18" t="s">
        <v>87</v>
      </c>
      <c r="J46" s="19">
        <v>84</v>
      </c>
      <c r="L46" s="2"/>
    </row>
    <row r="47" spans="1:12" ht="14.25" customHeight="1">
      <c r="A47" s="10">
        <v>33</v>
      </c>
      <c r="B47" s="10" t="s">
        <v>89</v>
      </c>
      <c r="C47" s="10" t="s">
        <v>90</v>
      </c>
      <c r="I47" s="18"/>
      <c r="J47" s="19"/>
      <c r="L47" s="2"/>
    </row>
    <row r="48" spans="1:12" ht="14.25" customHeight="1">
      <c r="A48" s="10">
        <v>34</v>
      </c>
      <c r="B48" s="10" t="s">
        <v>91</v>
      </c>
      <c r="C48" s="10" t="s">
        <v>92</v>
      </c>
      <c r="I48" s="18" t="s">
        <v>91</v>
      </c>
      <c r="J48" s="19">
        <v>83.333333333333329</v>
      </c>
      <c r="L48" s="2"/>
    </row>
    <row r="49" spans="1:12" ht="14.25" customHeight="1">
      <c r="A49" s="10">
        <v>35</v>
      </c>
      <c r="B49" s="10" t="s">
        <v>93</v>
      </c>
      <c r="C49" s="10" t="s">
        <v>94</v>
      </c>
      <c r="I49" s="18" t="s">
        <v>93</v>
      </c>
      <c r="J49" s="19">
        <v>82.333333333333329</v>
      </c>
      <c r="L49" s="2"/>
    </row>
    <row r="50" spans="1:12" ht="14.25" customHeight="1"/>
    <row r="51" spans="1:12" ht="14.25" customHeight="1"/>
    <row r="52" spans="1:12" ht="14.25" customHeight="1"/>
    <row r="53" spans="1:12" ht="14.25" customHeight="1"/>
    <row r="54" spans="1:12" ht="14.25" customHeight="1"/>
    <row r="55" spans="1:12" ht="14.25" customHeight="1"/>
    <row r="56" spans="1:12" ht="14.25" customHeight="1"/>
    <row r="57" spans="1:12" ht="14.25" customHeight="1"/>
    <row r="58" spans="1:12" ht="14.25" customHeight="1"/>
    <row r="59" spans="1:12" ht="14.25" customHeight="1"/>
    <row r="60" spans="1:12" ht="14.25" customHeight="1"/>
    <row r="61" spans="1:12" ht="14.25" customHeight="1"/>
    <row r="62" spans="1:12" ht="14.25" customHeight="1"/>
    <row r="63" spans="1:12" ht="14.25" customHeight="1"/>
    <row r="64" spans="1:12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C8:H8"/>
    <mergeCell ref="C9:H9"/>
    <mergeCell ref="A2:H2"/>
    <mergeCell ref="C4:H4"/>
    <mergeCell ref="C5:H5"/>
    <mergeCell ref="C6:H6"/>
    <mergeCell ref="C7:H7"/>
    <mergeCell ref="C10:H10"/>
    <mergeCell ref="B11:C11"/>
    <mergeCell ref="D11:H11"/>
    <mergeCell ref="A12:A14"/>
    <mergeCell ref="B12:B14"/>
    <mergeCell ref="C12:C14"/>
    <mergeCell ref="D12:H1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0"/>
  <sheetViews>
    <sheetView showGridLines="0" workbookViewId="0"/>
  </sheetViews>
  <sheetFormatPr defaultColWidth="14.3984375" defaultRowHeight="15" customHeight="1"/>
  <cols>
    <col min="1" max="1" width="3.53125" customWidth="1"/>
    <col min="2" max="2" width="17.3984375" customWidth="1"/>
    <col min="3" max="3" width="32.73046875" customWidth="1"/>
    <col min="4" max="9" width="9.86328125" customWidth="1"/>
    <col min="10" max="25" width="8.73046875" customWidth="1"/>
  </cols>
  <sheetData>
    <row r="1" spans="1:12" ht="14.25" customHeight="1"/>
    <row r="2" spans="1:12" ht="14.25" customHeight="1">
      <c r="A2" s="41" t="s">
        <v>0</v>
      </c>
      <c r="B2" s="42"/>
      <c r="C2" s="42"/>
      <c r="D2" s="42"/>
      <c r="E2" s="42"/>
      <c r="F2" s="42"/>
      <c r="G2" s="42"/>
      <c r="H2" s="42"/>
    </row>
    <row r="3" spans="1:12" ht="14.25" customHeight="1"/>
    <row r="4" spans="1:12" ht="14.25" customHeight="1">
      <c r="B4" s="1" t="s">
        <v>1</v>
      </c>
      <c r="C4" s="26" t="s">
        <v>2</v>
      </c>
      <c r="D4" s="27"/>
      <c r="E4" s="27"/>
      <c r="F4" s="27"/>
      <c r="G4" s="27"/>
      <c r="H4" s="28"/>
    </row>
    <row r="5" spans="1:12" ht="14.25" customHeight="1">
      <c r="B5" s="1" t="s">
        <v>3</v>
      </c>
      <c r="C5" s="26" t="s">
        <v>4</v>
      </c>
      <c r="D5" s="27"/>
      <c r="E5" s="27"/>
      <c r="F5" s="27"/>
      <c r="G5" s="27"/>
      <c r="H5" s="28"/>
    </row>
    <row r="6" spans="1:12" ht="14.25" customHeight="1">
      <c r="B6" s="1" t="s">
        <v>5</v>
      </c>
      <c r="C6" s="26" t="s">
        <v>6</v>
      </c>
      <c r="D6" s="27"/>
      <c r="E6" s="27"/>
      <c r="F6" s="27"/>
      <c r="G6" s="27"/>
      <c r="H6" s="28"/>
    </row>
    <row r="7" spans="1:12" ht="14.25" customHeight="1">
      <c r="B7" s="1" t="s">
        <v>7</v>
      </c>
      <c r="C7" s="26" t="s">
        <v>8</v>
      </c>
      <c r="D7" s="27"/>
      <c r="E7" s="27"/>
      <c r="F7" s="27"/>
      <c r="G7" s="27"/>
      <c r="H7" s="28"/>
    </row>
    <row r="8" spans="1:12" ht="14.25" customHeight="1">
      <c r="B8" s="1" t="s">
        <v>9</v>
      </c>
      <c r="C8" s="26" t="s">
        <v>10</v>
      </c>
      <c r="D8" s="27"/>
      <c r="E8" s="27"/>
      <c r="F8" s="27"/>
      <c r="G8" s="27"/>
      <c r="H8" s="28"/>
    </row>
    <row r="9" spans="1:12" ht="14.25" customHeight="1">
      <c r="B9" s="1" t="s">
        <v>11</v>
      </c>
      <c r="C9" s="26" t="s">
        <v>12</v>
      </c>
      <c r="D9" s="27"/>
      <c r="E9" s="27"/>
      <c r="F9" s="27"/>
      <c r="G9" s="27"/>
      <c r="H9" s="28"/>
    </row>
    <row r="10" spans="1:12" ht="14.25" customHeight="1">
      <c r="B10" s="1" t="s">
        <v>13</v>
      </c>
      <c r="C10" s="26" t="s">
        <v>14</v>
      </c>
      <c r="D10" s="27"/>
      <c r="E10" s="27"/>
      <c r="F10" s="27"/>
      <c r="G10" s="27"/>
      <c r="H10" s="28"/>
    </row>
    <row r="11" spans="1:12" ht="15.75" customHeight="1">
      <c r="B11" s="29" t="s">
        <v>15</v>
      </c>
      <c r="C11" s="30"/>
      <c r="D11" s="29"/>
      <c r="E11" s="30"/>
      <c r="F11" s="30"/>
      <c r="G11" s="30"/>
      <c r="H11" s="30"/>
    </row>
    <row r="12" spans="1:12" ht="14.25" customHeight="1">
      <c r="A12" s="31" t="s">
        <v>16</v>
      </c>
      <c r="B12" s="34" t="s">
        <v>17</v>
      </c>
      <c r="C12" s="37" t="s">
        <v>18</v>
      </c>
      <c r="D12" s="38" t="s">
        <v>19</v>
      </c>
      <c r="E12" s="39"/>
      <c r="F12" s="39"/>
      <c r="G12" s="39"/>
      <c r="H12" s="40"/>
      <c r="L12" s="2"/>
    </row>
    <row r="13" spans="1:12" ht="14.25" customHeight="1">
      <c r="A13" s="32"/>
      <c r="B13" s="35"/>
      <c r="C13" s="35"/>
      <c r="D13" s="3" t="s">
        <v>20</v>
      </c>
      <c r="E13" s="4" t="s">
        <v>21</v>
      </c>
      <c r="F13" s="3" t="s">
        <v>22</v>
      </c>
      <c r="G13" s="4" t="s">
        <v>23</v>
      </c>
      <c r="H13" s="5" t="s">
        <v>24</v>
      </c>
      <c r="L13" s="6" t="s">
        <v>105</v>
      </c>
    </row>
    <row r="14" spans="1:12" ht="15.75" customHeight="1">
      <c r="A14" s="33"/>
      <c r="B14" s="36"/>
      <c r="C14" s="36"/>
      <c r="D14" s="7">
        <v>0</v>
      </c>
      <c r="E14" s="8">
        <v>0</v>
      </c>
      <c r="F14" s="7">
        <v>1</v>
      </c>
      <c r="G14" s="8">
        <v>1</v>
      </c>
      <c r="H14" s="9">
        <v>0</v>
      </c>
      <c r="L14" s="6"/>
    </row>
    <row r="15" spans="1:12" ht="14.25" customHeight="1">
      <c r="A15" s="10">
        <v>1</v>
      </c>
      <c r="B15" s="10" t="s">
        <v>25</v>
      </c>
      <c r="C15" s="10" t="s">
        <v>26</v>
      </c>
      <c r="I15" s="18"/>
      <c r="J15" s="19"/>
      <c r="L15" s="20">
        <v>91</v>
      </c>
    </row>
    <row r="16" spans="1:12" ht="14.25" customHeight="1">
      <c r="A16" s="10">
        <v>2</v>
      </c>
      <c r="B16" s="10" t="s">
        <v>27</v>
      </c>
      <c r="C16" s="10" t="s">
        <v>28</v>
      </c>
      <c r="I16" s="18"/>
      <c r="J16" s="19"/>
      <c r="L16" s="20">
        <v>91</v>
      </c>
    </row>
    <row r="17" spans="1:12" ht="14.25" customHeight="1">
      <c r="A17" s="10">
        <v>3</v>
      </c>
      <c r="B17" s="10" t="s">
        <v>29</v>
      </c>
      <c r="C17" s="10" t="s">
        <v>30</v>
      </c>
      <c r="I17" s="18"/>
      <c r="J17" s="19"/>
      <c r="L17" s="21"/>
    </row>
    <row r="18" spans="1:12" ht="14.25" customHeight="1">
      <c r="A18" s="10">
        <v>4</v>
      </c>
      <c r="B18" s="10" t="s">
        <v>31</v>
      </c>
      <c r="C18" s="10" t="s">
        <v>32</v>
      </c>
      <c r="I18" s="18"/>
      <c r="J18" s="19"/>
      <c r="L18" s="20">
        <v>82</v>
      </c>
    </row>
    <row r="19" spans="1:12" ht="14.25" customHeight="1">
      <c r="A19" s="10">
        <v>5</v>
      </c>
      <c r="B19" s="10" t="s">
        <v>33</v>
      </c>
      <c r="C19" s="10" t="s">
        <v>34</v>
      </c>
      <c r="I19" s="18"/>
      <c r="J19" s="19"/>
      <c r="L19" s="20">
        <v>85</v>
      </c>
    </row>
    <row r="20" spans="1:12" ht="14.25" customHeight="1">
      <c r="A20" s="10">
        <v>6</v>
      </c>
      <c r="B20" s="10" t="s">
        <v>35</v>
      </c>
      <c r="C20" s="10" t="s">
        <v>36</v>
      </c>
      <c r="I20" s="18"/>
      <c r="J20" s="19"/>
      <c r="L20" s="20">
        <v>82</v>
      </c>
    </row>
    <row r="21" spans="1:12" ht="14.25" customHeight="1">
      <c r="A21" s="10">
        <v>7</v>
      </c>
      <c r="B21" s="10" t="s">
        <v>37</v>
      </c>
      <c r="C21" s="10" t="s">
        <v>38</v>
      </c>
      <c r="I21" s="18"/>
      <c r="J21" s="19"/>
      <c r="L21" s="21"/>
    </row>
    <row r="22" spans="1:12" ht="14.25" customHeight="1">
      <c r="A22" s="10">
        <v>8</v>
      </c>
      <c r="B22" s="10" t="s">
        <v>39</v>
      </c>
      <c r="C22" s="10" t="s">
        <v>40</v>
      </c>
      <c r="I22" s="18"/>
      <c r="J22" s="19"/>
      <c r="L22" s="20">
        <v>89</v>
      </c>
    </row>
    <row r="23" spans="1:12" ht="14.25" customHeight="1">
      <c r="A23" s="10">
        <v>9</v>
      </c>
      <c r="B23" s="10" t="s">
        <v>41</v>
      </c>
      <c r="C23" s="10" t="s">
        <v>42</v>
      </c>
      <c r="I23" s="18"/>
      <c r="J23" s="19"/>
      <c r="L23" s="20">
        <v>92</v>
      </c>
    </row>
    <row r="24" spans="1:12" ht="14.25" customHeight="1">
      <c r="A24" s="10">
        <v>10</v>
      </c>
      <c r="B24" s="10" t="s">
        <v>43</v>
      </c>
      <c r="C24" s="10" t="s">
        <v>44</v>
      </c>
      <c r="I24" s="18"/>
      <c r="J24" s="19"/>
      <c r="L24" s="20">
        <v>89</v>
      </c>
    </row>
    <row r="25" spans="1:12" ht="14.25" customHeight="1">
      <c r="A25" s="10">
        <v>11</v>
      </c>
      <c r="B25" s="10" t="s">
        <v>45</v>
      </c>
      <c r="C25" s="10" t="s">
        <v>46</v>
      </c>
      <c r="I25" s="18"/>
      <c r="J25" s="19"/>
      <c r="L25" s="20">
        <v>89</v>
      </c>
    </row>
    <row r="26" spans="1:12" ht="14.25" customHeight="1">
      <c r="A26" s="10">
        <v>12</v>
      </c>
      <c r="B26" s="10" t="s">
        <v>47</v>
      </c>
      <c r="C26" s="10" t="s">
        <v>48</v>
      </c>
      <c r="I26" s="18"/>
      <c r="J26" s="19"/>
      <c r="L26" s="20">
        <v>85</v>
      </c>
    </row>
    <row r="27" spans="1:12" ht="14.25" customHeight="1">
      <c r="A27" s="10">
        <v>13</v>
      </c>
      <c r="B27" s="10" t="s">
        <v>49</v>
      </c>
      <c r="C27" s="10" t="s">
        <v>50</v>
      </c>
      <c r="I27" s="18"/>
      <c r="J27" s="19"/>
      <c r="L27" s="20">
        <v>91</v>
      </c>
    </row>
    <row r="28" spans="1:12" ht="14.25" customHeight="1">
      <c r="A28" s="10">
        <v>14</v>
      </c>
      <c r="B28" s="10" t="s">
        <v>51</v>
      </c>
      <c r="C28" s="10" t="s">
        <v>52</v>
      </c>
      <c r="I28" s="18"/>
      <c r="J28" s="19"/>
      <c r="L28" s="20">
        <v>82</v>
      </c>
    </row>
    <row r="29" spans="1:12" ht="14.25" customHeight="1">
      <c r="A29" s="10">
        <v>15</v>
      </c>
      <c r="B29" s="10" t="s">
        <v>53</v>
      </c>
      <c r="C29" s="10" t="s">
        <v>54</v>
      </c>
      <c r="I29" s="18"/>
      <c r="J29" s="19"/>
      <c r="L29" s="20">
        <v>92</v>
      </c>
    </row>
    <row r="30" spans="1:12" ht="14.25" customHeight="1">
      <c r="A30" s="10">
        <v>16</v>
      </c>
      <c r="B30" s="10" t="s">
        <v>55</v>
      </c>
      <c r="C30" s="10" t="s">
        <v>56</v>
      </c>
      <c r="I30" s="18"/>
      <c r="J30" s="19"/>
      <c r="L30" s="20">
        <v>89</v>
      </c>
    </row>
    <row r="31" spans="1:12" ht="14.25" customHeight="1">
      <c r="A31" s="10">
        <v>17</v>
      </c>
      <c r="B31" s="10" t="s">
        <v>57</v>
      </c>
      <c r="C31" s="10" t="s">
        <v>58</v>
      </c>
      <c r="I31" s="18"/>
      <c r="J31" s="19"/>
      <c r="L31" s="20">
        <v>91</v>
      </c>
    </row>
    <row r="32" spans="1:12" ht="14.25" customHeight="1">
      <c r="A32" s="10">
        <v>18</v>
      </c>
      <c r="B32" s="10" t="s">
        <v>59</v>
      </c>
      <c r="C32" s="10" t="s">
        <v>60</v>
      </c>
      <c r="I32" s="18"/>
      <c r="J32" s="19"/>
      <c r="L32" s="20">
        <v>91</v>
      </c>
    </row>
    <row r="33" spans="1:12" ht="14.25" customHeight="1">
      <c r="A33" s="10">
        <v>19</v>
      </c>
      <c r="B33" s="10" t="s">
        <v>61</v>
      </c>
      <c r="C33" s="10" t="s">
        <v>62</v>
      </c>
      <c r="I33" s="18"/>
      <c r="J33" s="19"/>
      <c r="L33" s="20">
        <v>91</v>
      </c>
    </row>
    <row r="34" spans="1:12" ht="14.25" customHeight="1">
      <c r="A34" s="10">
        <v>20</v>
      </c>
      <c r="B34" s="10" t="s">
        <v>63</v>
      </c>
      <c r="C34" s="10" t="s">
        <v>64</v>
      </c>
      <c r="I34" s="18"/>
      <c r="J34" s="19"/>
      <c r="L34" s="20">
        <v>91</v>
      </c>
    </row>
    <row r="35" spans="1:12" ht="14.25" customHeight="1">
      <c r="A35" s="10">
        <v>21</v>
      </c>
      <c r="B35" s="10" t="s">
        <v>65</v>
      </c>
      <c r="C35" s="10" t="s">
        <v>66</v>
      </c>
      <c r="I35" s="18"/>
      <c r="J35" s="19"/>
      <c r="L35" s="20">
        <v>89</v>
      </c>
    </row>
    <row r="36" spans="1:12" ht="14.25" customHeight="1">
      <c r="A36" s="10">
        <v>22</v>
      </c>
      <c r="B36" s="10" t="s">
        <v>67</v>
      </c>
      <c r="C36" s="10" t="s">
        <v>68</v>
      </c>
      <c r="I36" s="18"/>
      <c r="J36" s="19"/>
      <c r="L36" s="20">
        <v>85</v>
      </c>
    </row>
    <row r="37" spans="1:12" ht="14.25" customHeight="1">
      <c r="A37" s="10">
        <v>23</v>
      </c>
      <c r="B37" s="10" t="s">
        <v>69</v>
      </c>
      <c r="C37" s="10" t="s">
        <v>70</v>
      </c>
      <c r="I37" s="18"/>
      <c r="J37" s="19"/>
      <c r="L37" s="20">
        <v>85</v>
      </c>
    </row>
    <row r="38" spans="1:12" ht="14.25" customHeight="1">
      <c r="A38" s="10">
        <v>24</v>
      </c>
      <c r="B38" s="10" t="s">
        <v>71</v>
      </c>
      <c r="C38" s="10" t="s">
        <v>72</v>
      </c>
      <c r="I38" s="18"/>
      <c r="J38" s="19"/>
      <c r="L38" s="20">
        <v>92</v>
      </c>
    </row>
    <row r="39" spans="1:12" ht="14.25" customHeight="1">
      <c r="A39" s="10">
        <v>25</v>
      </c>
      <c r="B39" s="10" t="s">
        <v>73</v>
      </c>
      <c r="C39" s="10" t="s">
        <v>74</v>
      </c>
      <c r="I39" s="18"/>
      <c r="J39" s="19"/>
      <c r="L39" s="20">
        <v>82</v>
      </c>
    </row>
    <row r="40" spans="1:12" ht="14.25" customHeight="1">
      <c r="A40" s="10">
        <v>26</v>
      </c>
      <c r="B40" s="10" t="s">
        <v>75</v>
      </c>
      <c r="C40" s="10" t="s">
        <v>76</v>
      </c>
      <c r="I40" s="18"/>
      <c r="J40" s="19"/>
      <c r="L40" s="20">
        <v>92</v>
      </c>
    </row>
    <row r="41" spans="1:12" ht="14.25" customHeight="1">
      <c r="A41" s="10">
        <v>27</v>
      </c>
      <c r="B41" s="10" t="s">
        <v>77</v>
      </c>
      <c r="C41" s="10" t="s">
        <v>78</v>
      </c>
      <c r="I41" s="18"/>
      <c r="J41" s="19"/>
      <c r="L41" s="20">
        <v>85</v>
      </c>
    </row>
    <row r="42" spans="1:12" ht="14.25" customHeight="1">
      <c r="A42" s="10">
        <v>28</v>
      </c>
      <c r="B42" s="10" t="s">
        <v>79</v>
      </c>
      <c r="C42" s="10" t="s">
        <v>80</v>
      </c>
      <c r="I42" s="18"/>
      <c r="J42" s="19"/>
      <c r="L42" s="20">
        <v>89</v>
      </c>
    </row>
    <row r="43" spans="1:12" ht="14.25" customHeight="1">
      <c r="A43" s="10">
        <v>29</v>
      </c>
      <c r="B43" s="10" t="s">
        <v>81</v>
      </c>
      <c r="C43" s="10" t="s">
        <v>82</v>
      </c>
      <c r="I43" s="18"/>
      <c r="J43" s="19"/>
      <c r="L43" s="20">
        <v>91</v>
      </c>
    </row>
    <row r="44" spans="1:12" ht="14.25" customHeight="1">
      <c r="A44" s="10">
        <v>30</v>
      </c>
      <c r="B44" s="10" t="s">
        <v>83</v>
      </c>
      <c r="C44" s="10" t="s">
        <v>84</v>
      </c>
      <c r="I44" s="18"/>
      <c r="J44" s="19"/>
      <c r="L44" s="21"/>
    </row>
    <row r="45" spans="1:12" ht="14.25" customHeight="1">
      <c r="A45" s="10">
        <v>31</v>
      </c>
      <c r="B45" s="10" t="s">
        <v>85</v>
      </c>
      <c r="C45" s="10" t="s">
        <v>86</v>
      </c>
      <c r="I45" s="18"/>
      <c r="J45" s="19"/>
      <c r="L45" s="20">
        <v>92</v>
      </c>
    </row>
    <row r="46" spans="1:12" ht="14.25" customHeight="1">
      <c r="A46" s="10">
        <v>32</v>
      </c>
      <c r="B46" s="10" t="s">
        <v>87</v>
      </c>
      <c r="C46" s="10" t="s">
        <v>88</v>
      </c>
      <c r="I46" s="18"/>
      <c r="J46" s="19"/>
      <c r="L46" s="20">
        <v>82</v>
      </c>
    </row>
    <row r="47" spans="1:12" ht="14.25" customHeight="1">
      <c r="A47" s="10">
        <v>33</v>
      </c>
      <c r="B47" s="10" t="s">
        <v>89</v>
      </c>
      <c r="C47" s="10" t="s">
        <v>90</v>
      </c>
      <c r="I47" s="18"/>
      <c r="J47" s="19"/>
      <c r="L47" s="21"/>
    </row>
    <row r="48" spans="1:12" ht="14.25" customHeight="1">
      <c r="A48" s="10">
        <v>34</v>
      </c>
      <c r="B48" s="10" t="s">
        <v>91</v>
      </c>
      <c r="C48" s="10" t="s">
        <v>92</v>
      </c>
      <c r="I48" s="18"/>
      <c r="J48" s="19"/>
      <c r="L48" s="20">
        <v>91</v>
      </c>
    </row>
    <row r="49" spans="1:12" ht="14.25" customHeight="1">
      <c r="A49" s="10">
        <v>35</v>
      </c>
      <c r="B49" s="10" t="s">
        <v>93</v>
      </c>
      <c r="C49" s="10" t="s">
        <v>94</v>
      </c>
      <c r="I49" s="18"/>
      <c r="J49" s="19"/>
      <c r="L49" s="20">
        <v>91</v>
      </c>
    </row>
    <row r="50" spans="1:12" ht="14.25" customHeight="1"/>
    <row r="51" spans="1:12" ht="14.25" customHeight="1"/>
    <row r="52" spans="1:12" ht="14.25" customHeight="1"/>
    <row r="53" spans="1:12" ht="14.25" customHeight="1"/>
    <row r="54" spans="1:12" ht="14.25" customHeight="1"/>
    <row r="55" spans="1:12" ht="14.25" customHeight="1"/>
    <row r="56" spans="1:12" ht="14.25" customHeight="1"/>
    <row r="57" spans="1:12" ht="14.25" customHeight="1"/>
    <row r="58" spans="1:12" ht="14.25" customHeight="1"/>
    <row r="59" spans="1:12" ht="14.25" customHeight="1"/>
    <row r="60" spans="1:12" ht="14.25" customHeight="1"/>
    <row r="61" spans="1:12" ht="14.25" customHeight="1"/>
    <row r="62" spans="1:12" ht="14.25" customHeight="1"/>
    <row r="63" spans="1:12" ht="14.25" customHeight="1"/>
    <row r="64" spans="1:12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C8:H8"/>
    <mergeCell ref="C9:H9"/>
    <mergeCell ref="A2:H2"/>
    <mergeCell ref="C4:H4"/>
    <mergeCell ref="C5:H5"/>
    <mergeCell ref="C6:H6"/>
    <mergeCell ref="C7:H7"/>
    <mergeCell ref="C10:H10"/>
    <mergeCell ref="B11:C11"/>
    <mergeCell ref="D11:H11"/>
    <mergeCell ref="A12:A14"/>
    <mergeCell ref="B12:B14"/>
    <mergeCell ref="C12:C14"/>
    <mergeCell ref="D12:H1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00"/>
  <sheetViews>
    <sheetView showGridLines="0" topLeftCell="A21" workbookViewId="0">
      <selection activeCell="L44" sqref="L44"/>
    </sheetView>
  </sheetViews>
  <sheetFormatPr defaultColWidth="14.3984375" defaultRowHeight="15" customHeight="1"/>
  <cols>
    <col min="1" max="1" width="3.53125" customWidth="1"/>
    <col min="2" max="2" width="17.3984375" customWidth="1"/>
    <col min="3" max="3" width="32.73046875" customWidth="1"/>
    <col min="4" max="9" width="9.86328125" customWidth="1"/>
    <col min="10" max="25" width="8.73046875" customWidth="1"/>
  </cols>
  <sheetData>
    <row r="1" spans="1:12" ht="14.25" customHeight="1"/>
    <row r="2" spans="1:12" ht="14.25" customHeight="1">
      <c r="A2" s="41" t="s">
        <v>0</v>
      </c>
      <c r="B2" s="42"/>
      <c r="C2" s="42"/>
      <c r="D2" s="42"/>
      <c r="E2" s="42"/>
      <c r="F2" s="42"/>
      <c r="G2" s="42"/>
      <c r="H2" s="42"/>
    </row>
    <row r="3" spans="1:12" ht="14.25" customHeight="1"/>
    <row r="4" spans="1:12" ht="14.25" customHeight="1">
      <c r="B4" s="1" t="s">
        <v>1</v>
      </c>
      <c r="C4" s="26" t="s">
        <v>2</v>
      </c>
      <c r="D4" s="27"/>
      <c r="E4" s="27"/>
      <c r="F4" s="27"/>
      <c r="G4" s="27"/>
      <c r="H4" s="28"/>
    </row>
    <row r="5" spans="1:12" ht="14.25" customHeight="1">
      <c r="B5" s="1" t="s">
        <v>3</v>
      </c>
      <c r="C5" s="26" t="s">
        <v>4</v>
      </c>
      <c r="D5" s="27"/>
      <c r="E5" s="27"/>
      <c r="F5" s="27"/>
      <c r="G5" s="27"/>
      <c r="H5" s="28"/>
    </row>
    <row r="6" spans="1:12" ht="14.25" customHeight="1">
      <c r="B6" s="1" t="s">
        <v>5</v>
      </c>
      <c r="C6" s="26" t="s">
        <v>6</v>
      </c>
      <c r="D6" s="27"/>
      <c r="E6" s="27"/>
      <c r="F6" s="27"/>
      <c r="G6" s="27"/>
      <c r="H6" s="28"/>
    </row>
    <row r="7" spans="1:12" ht="14.25" customHeight="1">
      <c r="B7" s="1" t="s">
        <v>7</v>
      </c>
      <c r="C7" s="26" t="s">
        <v>8</v>
      </c>
      <c r="D7" s="27"/>
      <c r="E7" s="27"/>
      <c r="F7" s="27"/>
      <c r="G7" s="27"/>
      <c r="H7" s="28"/>
    </row>
    <row r="8" spans="1:12" ht="14.25" customHeight="1">
      <c r="B8" s="1" t="s">
        <v>9</v>
      </c>
      <c r="C8" s="26" t="s">
        <v>10</v>
      </c>
      <c r="D8" s="27"/>
      <c r="E8" s="27"/>
      <c r="F8" s="27"/>
      <c r="G8" s="27"/>
      <c r="H8" s="28"/>
    </row>
    <row r="9" spans="1:12" ht="14.25" customHeight="1">
      <c r="B9" s="1" t="s">
        <v>11</v>
      </c>
      <c r="C9" s="26" t="s">
        <v>12</v>
      </c>
      <c r="D9" s="27"/>
      <c r="E9" s="27"/>
      <c r="F9" s="27"/>
      <c r="G9" s="27"/>
      <c r="H9" s="28"/>
    </row>
    <row r="10" spans="1:12" ht="14.25" customHeight="1">
      <c r="B10" s="1" t="s">
        <v>13</v>
      </c>
      <c r="C10" s="26" t="s">
        <v>14</v>
      </c>
      <c r="D10" s="27"/>
      <c r="E10" s="27"/>
      <c r="F10" s="27"/>
      <c r="G10" s="27"/>
      <c r="H10" s="28"/>
    </row>
    <row r="11" spans="1:12" ht="15.75" customHeight="1">
      <c r="B11" s="29" t="s">
        <v>15</v>
      </c>
      <c r="C11" s="30"/>
      <c r="D11" s="29"/>
      <c r="E11" s="30"/>
      <c r="F11" s="30"/>
      <c r="G11" s="30"/>
      <c r="H11" s="30"/>
    </row>
    <row r="12" spans="1:12" ht="14.25" customHeight="1">
      <c r="A12" s="31" t="s">
        <v>16</v>
      </c>
      <c r="B12" s="34" t="s">
        <v>17</v>
      </c>
      <c r="C12" s="37" t="s">
        <v>18</v>
      </c>
      <c r="D12" s="38" t="s">
        <v>19</v>
      </c>
      <c r="E12" s="39"/>
      <c r="F12" s="39"/>
      <c r="G12" s="39"/>
      <c r="H12" s="40"/>
      <c r="L12" s="2"/>
    </row>
    <row r="13" spans="1:12" ht="14.25" customHeight="1">
      <c r="A13" s="32"/>
      <c r="B13" s="35"/>
      <c r="C13" s="35"/>
      <c r="D13" s="3" t="s">
        <v>20</v>
      </c>
      <c r="E13" s="4" t="s">
        <v>21</v>
      </c>
      <c r="F13" s="3" t="s">
        <v>22</v>
      </c>
      <c r="G13" s="4" t="s">
        <v>23</v>
      </c>
      <c r="H13" s="5" t="s">
        <v>24</v>
      </c>
      <c r="L13" s="6" t="s">
        <v>105</v>
      </c>
    </row>
    <row r="14" spans="1:12" ht="15.75" customHeight="1">
      <c r="A14" s="33"/>
      <c r="B14" s="36"/>
      <c r="C14" s="36"/>
      <c r="D14" s="7">
        <v>0</v>
      </c>
      <c r="E14" s="8">
        <v>0</v>
      </c>
      <c r="F14" s="7">
        <v>1</v>
      </c>
      <c r="G14" s="8">
        <v>1</v>
      </c>
      <c r="H14" s="9">
        <v>2</v>
      </c>
      <c r="L14" s="6"/>
    </row>
    <row r="15" spans="1:12" ht="14.25" customHeight="1">
      <c r="A15" s="10">
        <v>1</v>
      </c>
      <c r="B15" s="10" t="s">
        <v>25</v>
      </c>
      <c r="C15" s="10" t="s">
        <v>26</v>
      </c>
      <c r="I15" s="18"/>
      <c r="J15" s="19"/>
      <c r="L15" s="22">
        <v>87.75</v>
      </c>
    </row>
    <row r="16" spans="1:12" ht="14.25" customHeight="1">
      <c r="A16" s="10">
        <v>2</v>
      </c>
      <c r="B16" s="10" t="s">
        <v>27</v>
      </c>
      <c r="C16" s="10" t="s">
        <v>28</v>
      </c>
      <c r="I16" s="18"/>
      <c r="J16" s="19"/>
      <c r="L16" s="22">
        <v>84</v>
      </c>
    </row>
    <row r="17" spans="1:12" ht="14.25" customHeight="1">
      <c r="A17" s="10">
        <v>3</v>
      </c>
      <c r="B17" s="10" t="s">
        <v>29</v>
      </c>
      <c r="C17" s="10" t="s">
        <v>30</v>
      </c>
      <c r="I17" s="18"/>
      <c r="J17" s="19"/>
      <c r="L17" s="23"/>
    </row>
    <row r="18" spans="1:12" ht="14.25" customHeight="1">
      <c r="A18" s="10">
        <v>4</v>
      </c>
      <c r="B18" s="10" t="s">
        <v>31</v>
      </c>
      <c r="C18" s="10" t="s">
        <v>32</v>
      </c>
      <c r="I18" s="18"/>
      <c r="J18" s="19"/>
      <c r="L18" s="22">
        <v>83</v>
      </c>
    </row>
    <row r="19" spans="1:12" ht="14.25" customHeight="1">
      <c r="A19" s="10">
        <v>5</v>
      </c>
      <c r="B19" s="10" t="s">
        <v>33</v>
      </c>
      <c r="C19" s="10" t="s">
        <v>34</v>
      </c>
      <c r="I19" s="18"/>
      <c r="J19" s="19"/>
      <c r="L19" s="22">
        <v>79.75</v>
      </c>
    </row>
    <row r="20" spans="1:12" ht="14.25" customHeight="1">
      <c r="A20" s="10">
        <v>6</v>
      </c>
      <c r="B20" s="10" t="s">
        <v>35</v>
      </c>
      <c r="C20" s="10" t="s">
        <v>36</v>
      </c>
      <c r="I20" s="18"/>
      <c r="J20" s="19"/>
      <c r="L20" s="22">
        <v>83</v>
      </c>
    </row>
    <row r="21" spans="1:12" ht="14.25" customHeight="1">
      <c r="A21" s="10">
        <v>7</v>
      </c>
      <c r="B21" s="10" t="s">
        <v>37</v>
      </c>
      <c r="C21" s="10" t="s">
        <v>38</v>
      </c>
      <c r="I21" s="18"/>
      <c r="J21" s="19"/>
      <c r="L21" s="23"/>
    </row>
    <row r="22" spans="1:12" ht="14.25" customHeight="1">
      <c r="A22" s="10">
        <v>8</v>
      </c>
      <c r="B22" s="10" t="s">
        <v>39</v>
      </c>
      <c r="C22" s="10" t="s">
        <v>40</v>
      </c>
      <c r="I22" s="18"/>
      <c r="J22" s="19"/>
      <c r="L22" s="22">
        <v>86.5</v>
      </c>
    </row>
    <row r="23" spans="1:12" ht="14.25" customHeight="1">
      <c r="A23" s="10">
        <v>9</v>
      </c>
      <c r="B23" s="10" t="s">
        <v>41</v>
      </c>
      <c r="C23" s="10" t="s">
        <v>42</v>
      </c>
      <c r="I23" s="18"/>
      <c r="J23" s="19"/>
      <c r="L23" s="22">
        <v>85.75</v>
      </c>
    </row>
    <row r="24" spans="1:12" ht="14.25" customHeight="1">
      <c r="A24" s="10">
        <v>10</v>
      </c>
      <c r="B24" s="10" t="s">
        <v>43</v>
      </c>
      <c r="C24" s="10" t="s">
        <v>44</v>
      </c>
      <c r="I24" s="18"/>
      <c r="J24" s="19"/>
      <c r="L24" s="22">
        <v>86.5</v>
      </c>
    </row>
    <row r="25" spans="1:12" ht="14.25" customHeight="1">
      <c r="A25" s="10">
        <v>11</v>
      </c>
      <c r="B25" s="10" t="s">
        <v>45</v>
      </c>
      <c r="C25" s="10" t="s">
        <v>46</v>
      </c>
      <c r="I25" s="18"/>
      <c r="J25" s="19"/>
      <c r="L25" s="22">
        <v>86.5</v>
      </c>
    </row>
    <row r="26" spans="1:12" ht="14.25" customHeight="1">
      <c r="A26" s="10">
        <v>12</v>
      </c>
      <c r="B26" s="10" t="s">
        <v>47</v>
      </c>
      <c r="C26" s="10" t="s">
        <v>48</v>
      </c>
      <c r="I26" s="18"/>
      <c r="J26" s="19"/>
      <c r="L26" s="22">
        <v>79.75</v>
      </c>
    </row>
    <row r="27" spans="1:12" ht="14.25" customHeight="1">
      <c r="A27" s="10">
        <v>13</v>
      </c>
      <c r="B27" s="10" t="s">
        <v>49</v>
      </c>
      <c r="C27" s="10" t="s">
        <v>50</v>
      </c>
      <c r="I27" s="18"/>
      <c r="J27" s="19"/>
      <c r="L27" s="22">
        <v>84</v>
      </c>
    </row>
    <row r="28" spans="1:12" ht="14.25" customHeight="1">
      <c r="A28" s="10">
        <v>14</v>
      </c>
      <c r="B28" s="10" t="s">
        <v>51</v>
      </c>
      <c r="C28" s="10" t="s">
        <v>52</v>
      </c>
      <c r="I28" s="18"/>
      <c r="J28" s="19"/>
      <c r="L28" s="22">
        <v>83</v>
      </c>
    </row>
    <row r="29" spans="1:12" ht="14.25" customHeight="1">
      <c r="A29" s="10">
        <v>15</v>
      </c>
      <c r="B29" s="10" t="s">
        <v>53</v>
      </c>
      <c r="C29" s="10" t="s">
        <v>54</v>
      </c>
      <c r="I29" s="18"/>
      <c r="J29" s="19"/>
      <c r="L29" s="22">
        <v>85.75</v>
      </c>
    </row>
    <row r="30" spans="1:12" ht="14.25" customHeight="1">
      <c r="A30" s="10">
        <v>16</v>
      </c>
      <c r="B30" s="10" t="s">
        <v>55</v>
      </c>
      <c r="C30" s="10" t="s">
        <v>56</v>
      </c>
      <c r="I30" s="18"/>
      <c r="J30" s="19"/>
      <c r="L30" s="22">
        <v>86.5</v>
      </c>
    </row>
    <row r="31" spans="1:12" ht="14.25" customHeight="1">
      <c r="A31" s="10">
        <v>17</v>
      </c>
      <c r="B31" s="10" t="s">
        <v>57</v>
      </c>
      <c r="C31" s="10" t="s">
        <v>58</v>
      </c>
      <c r="I31" s="18"/>
      <c r="J31" s="19"/>
      <c r="L31" s="22">
        <v>87.75</v>
      </c>
    </row>
    <row r="32" spans="1:12" ht="14.25" customHeight="1">
      <c r="A32" s="10">
        <v>18</v>
      </c>
      <c r="B32" s="10" t="s">
        <v>59</v>
      </c>
      <c r="C32" s="10" t="s">
        <v>60</v>
      </c>
      <c r="I32" s="18"/>
      <c r="J32" s="19"/>
      <c r="L32" s="22">
        <v>87.75</v>
      </c>
    </row>
    <row r="33" spans="1:12" ht="14.25" customHeight="1">
      <c r="A33" s="10">
        <v>19</v>
      </c>
      <c r="B33" s="10" t="s">
        <v>61</v>
      </c>
      <c r="C33" s="10" t="s">
        <v>62</v>
      </c>
      <c r="I33" s="18"/>
      <c r="J33" s="19"/>
      <c r="L33" s="22">
        <v>84</v>
      </c>
    </row>
    <row r="34" spans="1:12" ht="14.25" customHeight="1">
      <c r="A34" s="10">
        <v>20</v>
      </c>
      <c r="B34" s="10" t="s">
        <v>63</v>
      </c>
      <c r="C34" s="10" t="s">
        <v>64</v>
      </c>
      <c r="I34" s="18"/>
      <c r="J34" s="19"/>
      <c r="L34" s="22">
        <v>87.75</v>
      </c>
    </row>
    <row r="35" spans="1:12" ht="14.25" customHeight="1">
      <c r="A35" s="10">
        <v>21</v>
      </c>
      <c r="B35" s="10" t="s">
        <v>65</v>
      </c>
      <c r="C35" s="10" t="s">
        <v>66</v>
      </c>
      <c r="I35" s="18"/>
      <c r="J35" s="19"/>
      <c r="L35" s="22">
        <v>86.5</v>
      </c>
    </row>
    <row r="36" spans="1:12" ht="14.25" customHeight="1">
      <c r="A36" s="10">
        <v>22</v>
      </c>
      <c r="B36" s="10" t="s">
        <v>67</v>
      </c>
      <c r="C36" s="10" t="s">
        <v>68</v>
      </c>
      <c r="I36" s="18"/>
      <c r="J36" s="19"/>
      <c r="L36" s="22">
        <v>79.75</v>
      </c>
    </row>
    <row r="37" spans="1:12" ht="14.25" customHeight="1">
      <c r="A37" s="10">
        <v>23</v>
      </c>
      <c r="B37" s="10" t="s">
        <v>69</v>
      </c>
      <c r="C37" s="10" t="s">
        <v>70</v>
      </c>
      <c r="I37" s="18"/>
      <c r="J37" s="19"/>
      <c r="L37" s="22">
        <v>79.75</v>
      </c>
    </row>
    <row r="38" spans="1:12" ht="14.25" customHeight="1">
      <c r="A38" s="10">
        <v>24</v>
      </c>
      <c r="B38" s="10" t="s">
        <v>71</v>
      </c>
      <c r="C38" s="10" t="s">
        <v>72</v>
      </c>
      <c r="I38" s="18"/>
      <c r="J38" s="19"/>
      <c r="L38" s="22">
        <v>85.75</v>
      </c>
    </row>
    <row r="39" spans="1:12" ht="14.25" customHeight="1">
      <c r="A39" s="10">
        <v>25</v>
      </c>
      <c r="B39" s="10" t="s">
        <v>73</v>
      </c>
      <c r="C39" s="10" t="s">
        <v>74</v>
      </c>
      <c r="I39" s="18"/>
      <c r="J39" s="19"/>
      <c r="L39" s="24">
        <v>83</v>
      </c>
    </row>
    <row r="40" spans="1:12" ht="14.25" customHeight="1">
      <c r="A40" s="10">
        <v>26</v>
      </c>
      <c r="B40" s="10" t="s">
        <v>75</v>
      </c>
      <c r="C40" s="10" t="s">
        <v>76</v>
      </c>
      <c r="I40" s="18"/>
      <c r="J40" s="19"/>
      <c r="L40" s="22">
        <v>85.75</v>
      </c>
    </row>
    <row r="41" spans="1:12" ht="14.25" customHeight="1">
      <c r="A41" s="10">
        <v>27</v>
      </c>
      <c r="B41" s="10" t="s">
        <v>77</v>
      </c>
      <c r="C41" s="10" t="s">
        <v>78</v>
      </c>
      <c r="I41" s="18"/>
      <c r="J41" s="19"/>
      <c r="L41" s="22">
        <v>79.75</v>
      </c>
    </row>
    <row r="42" spans="1:12" ht="14.25" customHeight="1">
      <c r="A42" s="10">
        <v>28</v>
      </c>
      <c r="B42" s="10" t="s">
        <v>79</v>
      </c>
      <c r="C42" s="10" t="s">
        <v>80</v>
      </c>
      <c r="I42" s="18"/>
      <c r="J42" s="19"/>
      <c r="L42" s="22">
        <v>86.5</v>
      </c>
    </row>
    <row r="43" spans="1:12" ht="14.25" customHeight="1">
      <c r="A43" s="10">
        <v>29</v>
      </c>
      <c r="B43" s="10" t="s">
        <v>81</v>
      </c>
      <c r="C43" s="10" t="s">
        <v>82</v>
      </c>
      <c r="I43" s="18"/>
      <c r="J43" s="19"/>
      <c r="L43" s="22">
        <v>87.75</v>
      </c>
    </row>
    <row r="44" spans="1:12" ht="14.25" customHeight="1">
      <c r="A44" s="10">
        <v>30</v>
      </c>
      <c r="B44" s="10" t="s">
        <v>83</v>
      </c>
      <c r="C44" s="10" t="s">
        <v>84</v>
      </c>
      <c r="I44" s="18"/>
      <c r="J44" s="19"/>
      <c r="L44" s="23"/>
    </row>
    <row r="45" spans="1:12" ht="14.25" customHeight="1">
      <c r="A45" s="10">
        <v>31</v>
      </c>
      <c r="B45" s="10" t="s">
        <v>85</v>
      </c>
      <c r="C45" s="10" t="s">
        <v>86</v>
      </c>
      <c r="I45" s="18"/>
      <c r="J45" s="19"/>
      <c r="L45" s="22">
        <v>85.75</v>
      </c>
    </row>
    <row r="46" spans="1:12" ht="14.25" customHeight="1">
      <c r="A46" s="10">
        <v>32</v>
      </c>
      <c r="B46" s="10" t="s">
        <v>87</v>
      </c>
      <c r="C46" s="10" t="s">
        <v>88</v>
      </c>
      <c r="I46" s="18"/>
      <c r="J46" s="19"/>
      <c r="L46" s="22">
        <v>83</v>
      </c>
    </row>
    <row r="47" spans="1:12" ht="14.25" customHeight="1">
      <c r="A47" s="10">
        <v>33</v>
      </c>
      <c r="B47" s="10" t="s">
        <v>89</v>
      </c>
      <c r="C47" s="10" t="s">
        <v>90</v>
      </c>
      <c r="I47" s="18"/>
      <c r="J47" s="19"/>
      <c r="L47" s="23"/>
    </row>
    <row r="48" spans="1:12" ht="14.25" customHeight="1">
      <c r="A48" s="10">
        <v>34</v>
      </c>
      <c r="B48" s="10" t="s">
        <v>91</v>
      </c>
      <c r="C48" s="10" t="s">
        <v>92</v>
      </c>
      <c r="I48" s="18" t="s">
        <v>91</v>
      </c>
      <c r="J48" s="19">
        <v>83.333333333333329</v>
      </c>
      <c r="L48" s="22">
        <v>84</v>
      </c>
    </row>
    <row r="49" spans="1:12" ht="14.25" customHeight="1">
      <c r="A49" s="10">
        <v>35</v>
      </c>
      <c r="B49" s="10" t="s">
        <v>93</v>
      </c>
      <c r="C49" s="10" t="s">
        <v>94</v>
      </c>
      <c r="I49" s="18" t="s">
        <v>93</v>
      </c>
      <c r="J49" s="19">
        <v>82.333333333333329</v>
      </c>
      <c r="L49" s="22">
        <v>84</v>
      </c>
    </row>
    <row r="50" spans="1:12" ht="14.25" customHeight="1"/>
    <row r="51" spans="1:12" ht="14.25" customHeight="1"/>
    <row r="52" spans="1:12" ht="14.25" customHeight="1"/>
    <row r="53" spans="1:12" ht="14.25" customHeight="1"/>
    <row r="54" spans="1:12" ht="14.25" customHeight="1"/>
    <row r="55" spans="1:12" ht="14.25" customHeight="1"/>
    <row r="56" spans="1:12" ht="14.25" customHeight="1"/>
    <row r="57" spans="1:12" ht="14.25" customHeight="1"/>
    <row r="58" spans="1:12" ht="14.25" customHeight="1"/>
    <row r="59" spans="1:12" ht="14.25" customHeight="1"/>
    <row r="60" spans="1:12" ht="14.25" customHeight="1"/>
    <row r="61" spans="1:12" ht="14.25" customHeight="1"/>
    <row r="62" spans="1:12" ht="14.25" customHeight="1"/>
    <row r="63" spans="1:12" ht="14.25" customHeight="1"/>
    <row r="64" spans="1:12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C8:H8"/>
    <mergeCell ref="C9:H9"/>
    <mergeCell ref="A2:H2"/>
    <mergeCell ref="C4:H4"/>
    <mergeCell ref="C5:H5"/>
    <mergeCell ref="C6:H6"/>
    <mergeCell ref="C7:H7"/>
    <mergeCell ref="C10:H10"/>
    <mergeCell ref="B11:C11"/>
    <mergeCell ref="D11:H11"/>
    <mergeCell ref="A12:A14"/>
    <mergeCell ref="B12:B14"/>
    <mergeCell ref="C12:C14"/>
    <mergeCell ref="D12:H1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CP1.26</vt:lpstr>
      <vt:lpstr>CP1.27</vt:lpstr>
      <vt:lpstr>CP1.28</vt:lpstr>
      <vt:lpstr>CP1.29</vt:lpstr>
      <vt:lpstr>CP1.30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2022-12-30T03:00:27Z</dcterms:modified>
</cp:coreProperties>
</file>